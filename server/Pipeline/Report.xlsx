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lowardco-my.sharepoint.com/personal/tamer_mohamed_floward_com/Documents/Desktop/BD Target &amp; Sales/"/>
    </mc:Choice>
  </mc:AlternateContent>
  <xr:revisionPtr revIDLastSave="5768" documentId="13_ncr:1_{23D74B90-DBFA-4669-A120-825826AEE80A}" xr6:coauthVersionLast="47" xr6:coauthVersionMax="47" xr10:uidLastSave="{C67BAC6B-FC6F-457A-9684-5AF326C62D60}"/>
  <bookViews>
    <workbookView xWindow="-108" yWindow="-108" windowWidth="23256" windowHeight="12456" tabRatio="599" firstSheet="10" activeTab="17" xr2:uid="{F5901979-E432-4663-BB38-F3EA80243FC2}"/>
  </bookViews>
  <sheets>
    <sheet name="Dec 2024" sheetId="3" r:id="rId1"/>
    <sheet name="Pivot" sheetId="9" r:id="rId2"/>
    <sheet name="FEB 2025" sheetId="10" r:id="rId3"/>
    <sheet name="Sheet1" sheetId="11" r:id="rId4"/>
    <sheet name="JAN 2025" sheetId="5" r:id="rId5"/>
    <sheet name="OKRs" sheetId="7" r:id="rId6"/>
    <sheet name="Calendars " sheetId="6" r:id="rId7"/>
    <sheet name="March 2025" sheetId="12" r:id="rId8"/>
    <sheet name="Sheet6" sheetId="21" r:id="rId9"/>
    <sheet name="April 2025 " sheetId="13" r:id="rId10"/>
    <sheet name="May 2025 " sheetId="14" r:id="rId11"/>
    <sheet name="June 2025 " sheetId="15" r:id="rId12"/>
    <sheet name="July " sheetId="18" r:id="rId13"/>
    <sheet name="Augest" sheetId="19" r:id="rId14"/>
    <sheet name="Sep 2025 " sheetId="20" r:id="rId15"/>
    <sheet name="Oct 2025" sheetId="22" r:id="rId16"/>
    <sheet name="Nov 2025" sheetId="23" r:id="rId17"/>
    <sheet name="DEC 2025 " sheetId="25" r:id="rId18"/>
    <sheet name="Sheet2" sheetId="26" r:id="rId19"/>
  </sheets>
  <definedNames>
    <definedName name="_xlnm._FilterDatabase" localSheetId="9" hidden="1">'April 2025 '!$B$1:$P$38</definedName>
    <definedName name="_xlnm._FilterDatabase" localSheetId="13" hidden="1">Augest!$B$1:$M$21</definedName>
    <definedName name="_xlnm._FilterDatabase" localSheetId="17" hidden="1">'DEC 2025 '!$A$1:$N$59</definedName>
    <definedName name="_xlnm._FilterDatabase" localSheetId="12" hidden="1">'July '!$A$1:$O$32</definedName>
    <definedName name="_xlnm._FilterDatabase" localSheetId="11" hidden="1">'June 2025 '!$A$1:$O$48</definedName>
    <definedName name="_xlnm._FilterDatabase" localSheetId="7" hidden="1">'March 2025'!$A$1:$P$39</definedName>
    <definedName name="_xlnm._FilterDatabase" localSheetId="10" hidden="1">'May 2025 '!$C$1:$P$44</definedName>
    <definedName name="_xlnm._FilterDatabase" localSheetId="16" hidden="1">'Nov 2025'!$A$1:$N$48</definedName>
    <definedName name="_xlnm._FilterDatabase" localSheetId="15" hidden="1">'Oct 2025'!$A$1:$M$65</definedName>
    <definedName name="_xlnm._FilterDatabase" localSheetId="14" hidden="1">'Sep 2025 '!$A$1:$P$36</definedName>
  </definedNames>
  <calcPr calcId="191029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5" l="1"/>
  <c r="D48" i="23"/>
  <c r="D65" i="22"/>
  <c r="D36" i="20"/>
  <c r="D23" i="19"/>
  <c r="F34" i="18"/>
  <c r="E48" i="15"/>
  <c r="F44" i="14"/>
  <c r="F38" i="13"/>
  <c r="F39" i="12"/>
  <c r="D13" i="10"/>
  <c r="D14" i="10"/>
  <c r="D15" i="10"/>
  <c r="D16" i="10"/>
  <c r="D17" i="10"/>
  <c r="D22" i="10"/>
  <c r="D23" i="10"/>
  <c r="D25" i="10"/>
  <c r="D33" i="10"/>
  <c r="D34" i="10"/>
  <c r="D35" i="10"/>
  <c r="D36" i="10"/>
  <c r="D37" i="10"/>
  <c r="D38" i="10"/>
  <c r="D39" i="10"/>
  <c r="D40" i="10"/>
  <c r="D18" i="10"/>
  <c r="D19" i="10"/>
  <c r="D20" i="10"/>
  <c r="D21" i="10"/>
  <c r="D24" i="10"/>
  <c r="I38" i="7"/>
  <c r="D4" i="10"/>
  <c r="D2" i="10"/>
  <c r="D3" i="10"/>
  <c r="D5" i="10"/>
  <c r="D7" i="10"/>
  <c r="D8" i="10"/>
  <c r="D9" i="10"/>
  <c r="D6" i="10"/>
  <c r="D10" i="10"/>
  <c r="D11" i="10"/>
  <c r="D12" i="10"/>
  <c r="D26" i="10"/>
  <c r="D27" i="10"/>
  <c r="D28" i="10"/>
  <c r="D29" i="10"/>
  <c r="D30" i="10"/>
  <c r="D31" i="10"/>
  <c r="D32" i="10"/>
  <c r="J42" i="10"/>
  <c r="F42" i="10"/>
  <c r="D34" i="5"/>
  <c r="K34" i="5"/>
  <c r="L34" i="5"/>
  <c r="D29" i="5"/>
  <c r="K29" i="5"/>
  <c r="L29" i="5"/>
  <c r="D30" i="5"/>
  <c r="K30" i="5"/>
  <c r="L30" i="5"/>
  <c r="D31" i="5"/>
  <c r="K31" i="5"/>
  <c r="L31" i="5"/>
  <c r="D32" i="5"/>
  <c r="K32" i="5"/>
  <c r="L32" i="5"/>
  <c r="D33" i="5"/>
  <c r="K33" i="5"/>
  <c r="L33" i="5"/>
  <c r="D24" i="5"/>
  <c r="K35" i="5"/>
  <c r="L3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D21" i="5"/>
  <c r="K21" i="5"/>
  <c r="D22" i="5"/>
  <c r="K22" i="5"/>
  <c r="K24" i="5"/>
  <c r="D25" i="5"/>
  <c r="K25" i="5"/>
  <c r="D26" i="5"/>
  <c r="K26" i="5"/>
  <c r="D27" i="5"/>
  <c r="K27" i="5"/>
  <c r="D28" i="5"/>
  <c r="K28" i="5"/>
  <c r="F16" i="7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H7" i="7"/>
  <c r="D19" i="5"/>
  <c r="D20" i="5"/>
  <c r="D23" i="5"/>
  <c r="G2" i="6" a="1"/>
  <c r="G2" i="6" s="1"/>
  <c r="E24" i="7"/>
  <c r="E14" i="7"/>
  <c r="K15" i="5"/>
  <c r="K19" i="5"/>
  <c r="K20" i="5"/>
  <c r="K23" i="5"/>
  <c r="K17" i="5"/>
  <c r="K14" i="5"/>
  <c r="K18" i="5"/>
  <c r="K12" i="5"/>
  <c r="K13" i="5"/>
  <c r="K6" i="5"/>
  <c r="K4" i="5"/>
  <c r="J5" i="3"/>
  <c r="K5" i="3"/>
  <c r="J6" i="3"/>
  <c r="K6" i="3"/>
  <c r="J36" i="5"/>
  <c r="F36" i="5"/>
  <c r="K9" i="5"/>
  <c r="K8" i="5"/>
  <c r="K7" i="5"/>
  <c r="K5" i="5"/>
  <c r="K3" i="5"/>
  <c r="K2" i="5"/>
  <c r="J2" i="3"/>
  <c r="K14" i="3"/>
  <c r="F16" i="3"/>
  <c r="L42" i="10"/>
  <c r="K42" i="10"/>
  <c r="K2" i="3"/>
  <c r="J3" i="3"/>
  <c r="J4" i="3"/>
  <c r="J7" i="3"/>
  <c r="J8" i="3"/>
  <c r="J9" i="3"/>
  <c r="K3" i="3"/>
  <c r="K4" i="3"/>
  <c r="K7" i="3"/>
  <c r="K8" i="3"/>
  <c r="K9" i="3"/>
  <c r="K10" i="3"/>
  <c r="K11" i="3"/>
  <c r="K12" i="3"/>
  <c r="K13" i="3"/>
  <c r="H11" i="7"/>
  <c r="G11" i="7"/>
  <c r="G22" i="7"/>
  <c r="F11" i="7"/>
  <c r="F6" i="7"/>
  <c r="H6" i="7"/>
  <c r="G6" i="7"/>
  <c r="F22" i="7" l="1"/>
  <c r="K16" i="3"/>
  <c r="K36" i="5"/>
  <c r="L36" i="5"/>
  <c r="J1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<sst xmlns="http://schemas.openxmlformats.org/spreadsheetml/2006/main" count="4351" uniqueCount="544">
  <si>
    <t>Month</t>
  </si>
  <si>
    <t>Sales person</t>
  </si>
  <si>
    <t>Order Date</t>
  </si>
  <si>
    <t>Week</t>
  </si>
  <si>
    <t>Company Name</t>
  </si>
  <si>
    <t>Selling price</t>
  </si>
  <si>
    <t xml:space="preserve">Type Of Gift </t>
  </si>
  <si>
    <t>Business Type</t>
  </si>
  <si>
    <t>Cost price</t>
  </si>
  <si>
    <t xml:space="preserve">Margin </t>
  </si>
  <si>
    <t xml:space="preserve">Profit </t>
  </si>
  <si>
    <t>Payment status</t>
  </si>
  <si>
    <t xml:space="preserve">Order No </t>
  </si>
  <si>
    <t xml:space="preserve">Note </t>
  </si>
  <si>
    <t>Dec</t>
  </si>
  <si>
    <t>Tamer</t>
  </si>
  <si>
    <t xml:space="preserve">Tm Done </t>
  </si>
  <si>
    <t xml:space="preserve">Flowers </t>
  </si>
  <si>
    <t xml:space="preserve">Not paid </t>
  </si>
  <si>
    <t>24/12/2024</t>
  </si>
  <si>
    <t xml:space="preserve">Al Roya Newspaper </t>
  </si>
  <si>
    <t xml:space="preserve">Event </t>
  </si>
  <si>
    <t>Oman Human Rights Commision</t>
  </si>
  <si>
    <t xml:space="preserve">paid </t>
  </si>
  <si>
    <t>25/12/2024</t>
  </si>
  <si>
    <t>Bowsher Endowments Foundation</t>
  </si>
  <si>
    <t xml:space="preserve">Paid </t>
  </si>
  <si>
    <t>26/12/2024</t>
  </si>
  <si>
    <t xml:space="preserve">Walk in </t>
  </si>
  <si>
    <t>Swiss Arabian</t>
  </si>
  <si>
    <t>Ominvest</t>
  </si>
  <si>
    <t xml:space="preserve">Flowers &amp; Chocolate </t>
  </si>
  <si>
    <t xml:space="preserve">Birthday </t>
  </si>
  <si>
    <t xml:space="preserve">Sohar Univeristy Graduation </t>
  </si>
  <si>
    <t xml:space="preserve">Graduation </t>
  </si>
  <si>
    <t xml:space="preserve">Total </t>
  </si>
  <si>
    <t>Sum of Selling price</t>
  </si>
  <si>
    <t>Column Labels</t>
  </si>
  <si>
    <t>Row Labels</t>
  </si>
  <si>
    <t>W1</t>
  </si>
  <si>
    <t>W2</t>
  </si>
  <si>
    <t>W3</t>
  </si>
  <si>
    <t>#N/A</t>
  </si>
  <si>
    <t>Grand Total</t>
  </si>
  <si>
    <t>3PL</t>
  </si>
  <si>
    <t>Gifting</t>
  </si>
  <si>
    <t>(blank)</t>
  </si>
  <si>
    <t>Type</t>
  </si>
  <si>
    <t>Delivery Status</t>
  </si>
  <si>
    <t xml:space="preserve">Feb </t>
  </si>
  <si>
    <t>NN Graduation Ceremony</t>
  </si>
  <si>
    <t xml:space="preserve">Flowers  </t>
  </si>
  <si>
    <t xml:space="preserve">Corporate </t>
  </si>
  <si>
    <t xml:space="preserve">Deliverd </t>
  </si>
  <si>
    <t>Graduation offline Sale</t>
  </si>
  <si>
    <t>Umima</t>
  </si>
  <si>
    <t xml:space="preserve">wedding </t>
  </si>
  <si>
    <t xml:space="preserve">House Of Poineer </t>
  </si>
  <si>
    <t xml:space="preserve">Flowers  &amp; Chocolate </t>
  </si>
  <si>
    <t xml:space="preserve">Ominvest </t>
  </si>
  <si>
    <t xml:space="preserve">Gifting </t>
  </si>
  <si>
    <t xml:space="preserve">NBO </t>
  </si>
  <si>
    <t>Omna Medical Graduation Ceremony</t>
  </si>
  <si>
    <t>Graduation</t>
  </si>
  <si>
    <t xml:space="preserve">T.D </t>
  </si>
  <si>
    <t>Al Abrar</t>
  </si>
  <si>
    <t xml:space="preserve">VD Offline </t>
  </si>
  <si>
    <t xml:space="preserve">Offline Sales </t>
  </si>
  <si>
    <t>13165367 </t>
  </si>
  <si>
    <t>13165413 </t>
  </si>
  <si>
    <t>13165502 </t>
  </si>
  <si>
    <t>13171885 </t>
  </si>
  <si>
    <t>OHR</t>
  </si>
  <si>
    <t xml:space="preserve">Styles Salalah </t>
  </si>
  <si>
    <t xml:space="preserve">Styles Muscat Event </t>
  </si>
  <si>
    <t xml:space="preserve">Al Roya </t>
  </si>
  <si>
    <t xml:space="preserve">ODP </t>
  </si>
  <si>
    <t xml:space="preserve">Chocolate </t>
  </si>
  <si>
    <t xml:space="preserve">Styles of Event </t>
  </si>
  <si>
    <t xml:space="preserve">Al Khanjar </t>
  </si>
  <si>
    <t xml:space="preserve">Jan </t>
  </si>
  <si>
    <t>Nortal LLC</t>
  </si>
  <si>
    <t>Total</t>
  </si>
  <si>
    <t xml:space="preserve">ABQ Education Group 1 </t>
  </si>
  <si>
    <t xml:space="preserve">50% Paid </t>
  </si>
  <si>
    <t xml:space="preserve">Delivery will be madeon Feb </t>
  </si>
  <si>
    <t xml:space="preserve">ABQ Chocolate  Order </t>
  </si>
  <si>
    <t xml:space="preserve">ABQ Education Group 2 </t>
  </si>
  <si>
    <t xml:space="preserve"> Delivery will be made within the year</t>
  </si>
  <si>
    <t>ABQ Order multiple recipients</t>
  </si>
  <si>
    <t xml:space="preserve">Omna Football Assosation </t>
  </si>
  <si>
    <t xml:space="preserve">Deliverd in Kwaite </t>
  </si>
  <si>
    <t xml:space="preserve">Kwaite Order </t>
  </si>
  <si>
    <t xml:space="preserve">Marca </t>
  </si>
  <si>
    <t>Marca Order multiple recipients</t>
  </si>
  <si>
    <t>Kenshō Mindful Communications</t>
  </si>
  <si>
    <t>Deliverd in KSA</t>
  </si>
  <si>
    <t xml:space="preserve">KSA Order </t>
  </si>
  <si>
    <t xml:space="preserve">Oman Data Park </t>
  </si>
  <si>
    <t xml:space="preserve">FAB Bank </t>
  </si>
  <si>
    <r>
      <t>12655652</t>
    </r>
    <r>
      <rPr>
        <sz val="11"/>
        <color rgb="FF313131"/>
        <rFont val="Arial"/>
        <family val="2"/>
      </rPr>
      <t> </t>
    </r>
  </si>
  <si>
    <t xml:space="preserve">walk in </t>
  </si>
  <si>
    <t xml:space="preserve">To Fatma POS </t>
  </si>
  <si>
    <t xml:space="preserve">Mohamed Al Yahmadi OFA </t>
  </si>
  <si>
    <t>12735862 </t>
  </si>
  <si>
    <t>Paid  (Tamer Account )</t>
  </si>
  <si>
    <t>Wadad Brother</t>
  </si>
  <si>
    <t xml:space="preserve">Styles Event </t>
  </si>
  <si>
    <t>Ooredoo</t>
  </si>
  <si>
    <t>OHRC</t>
  </si>
  <si>
    <t>Gov</t>
  </si>
  <si>
    <t xml:space="preserve">Deliverd in Egypt </t>
  </si>
  <si>
    <t>Egypt order</t>
  </si>
  <si>
    <t>HOUSE OF PIONEERS LLC</t>
  </si>
  <si>
    <t xml:space="preserve">Perfumes </t>
  </si>
  <si>
    <t xml:space="preserve">will Be Deliverd in Feb </t>
  </si>
  <si>
    <t>Bandera Exh</t>
  </si>
  <si>
    <t>U.S. Embassy</t>
  </si>
  <si>
    <t>31/12/2024</t>
  </si>
  <si>
    <t>Hatim Al Tai ( Al Roya )</t>
  </si>
  <si>
    <t>paid (tamer Account )</t>
  </si>
  <si>
    <t>Floward FY25 OKRs</t>
  </si>
  <si>
    <t>Q1 25</t>
  </si>
  <si>
    <t>Q2 25</t>
  </si>
  <si>
    <t>Q3 25</t>
  </si>
  <si>
    <t>Q4 25</t>
  </si>
  <si>
    <t>Financial Figures in USD</t>
  </si>
  <si>
    <t>29th December - 4th January</t>
  </si>
  <si>
    <t>#</t>
  </si>
  <si>
    <t>Objectives and Key Results</t>
  </si>
  <si>
    <t>Target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</si>
  <si>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</si>
  <si>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</si>
  <si>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</si>
  <si>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</si>
  <si>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</si>
  <si>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</si>
  <si>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</si>
  <si>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</si>
  <si>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</si>
  <si>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</si>
  <si>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</si>
  <si>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</si>
  <si>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 xml:space="preserve"> </t>
  </si>
  <si>
    <r>
      <t xml:space="preserve">Establish our </t>
    </r>
    <r>
      <rPr>
        <b/>
        <sz val="11"/>
        <color theme="0"/>
        <rFont val="Aptos"/>
        <family val="2"/>
      </rPr>
      <t>B2B and offline businesses as a major growth pillar</t>
    </r>
    <r>
      <rPr>
        <sz val="11"/>
        <color theme="0"/>
        <rFont val="Aptos"/>
        <family val="2"/>
      </rPr>
      <t xml:space="preserve"> for Floward</t>
    </r>
  </si>
  <si>
    <t xml:space="preserve">Secure at least x.x event deals at a total value of x.x over the quarter  &gt;&gt; Monthly reporting </t>
  </si>
  <si>
    <t>Event</t>
  </si>
  <si>
    <t>5 deals / $500k</t>
  </si>
  <si>
    <t>5 deals / $600k</t>
  </si>
  <si>
    <t>5 deals / $700k</t>
  </si>
  <si>
    <t>5 deals / $800k</t>
  </si>
  <si>
    <t>5.1.1</t>
  </si>
  <si>
    <r>
      <t xml:space="preserve">Generate at least 500 Events leads  </t>
    </r>
    <r>
      <rPr>
        <b/>
        <sz val="11"/>
        <color rgb="FF000000"/>
        <rFont val="Aptos"/>
        <family val="2"/>
      </rPr>
      <t xml:space="preserve">&gt;&gt; Monthly reporting </t>
    </r>
  </si>
  <si>
    <t>5.1.2</t>
  </si>
  <si>
    <r>
      <rPr>
        <sz val="11"/>
        <color rgb="FF000000"/>
        <rFont val="Aptos"/>
        <family val="2"/>
      </rPr>
      <t xml:space="preserve">Increase conversion rate by 20% </t>
    </r>
    <r>
      <rPr>
        <b/>
        <sz val="11"/>
        <color rgb="FF000000"/>
        <rFont val="Aptos"/>
        <family val="2"/>
      </rPr>
      <t xml:space="preserve"> &gt;&gt; Monthly reporting </t>
    </r>
  </si>
  <si>
    <t>5.1.3</t>
  </si>
  <si>
    <r>
      <t xml:space="preserve">Stablish Social media engagment related content to reach 20000 </t>
    </r>
    <r>
      <rPr>
        <b/>
        <sz val="11"/>
        <color rgb="FF000000"/>
        <rFont val="Aptos"/>
        <family val="2"/>
      </rPr>
      <t>&gt;&gt; Monthly reporting</t>
    </r>
  </si>
  <si>
    <t>5.1.4</t>
  </si>
  <si>
    <r>
      <t xml:space="preserve">Increase the events offering options by 30% </t>
    </r>
    <r>
      <rPr>
        <b/>
        <sz val="11"/>
        <color rgb="FF000000"/>
        <rFont val="Aptos"/>
        <family val="2"/>
      </rPr>
      <t>&gt;&gt; Monthly reporting</t>
    </r>
  </si>
  <si>
    <t>Secure at least x.x corporate gifting deals at a total value of x.x (Total Revenue)</t>
  </si>
  <si>
    <t>15 deals / $1m</t>
  </si>
  <si>
    <t>15 deals / $1.2m</t>
  </si>
  <si>
    <t>15 deals / $1.4m</t>
  </si>
  <si>
    <t>15 deals / $1.6m</t>
  </si>
  <si>
    <t>5.2.1</t>
  </si>
  <si>
    <t>Generate at least 3700 corporate gifting leads</t>
  </si>
  <si>
    <t>5.2.2</t>
  </si>
  <si>
    <t>Conversion rate</t>
  </si>
  <si>
    <t>5.2.3</t>
  </si>
  <si>
    <t>Increase AOV by 10%</t>
  </si>
  <si>
    <t>5.2.4</t>
  </si>
  <si>
    <t>Increase the corporate gifting offering options by 30%</t>
  </si>
  <si>
    <t>Launch x.x additional vending machine locations and achieve sales of x.x </t>
  </si>
  <si>
    <t>VM</t>
  </si>
  <si>
    <t>20 locations / $3m</t>
  </si>
  <si>
    <t>20 locations / $3.6m</t>
  </si>
  <si>
    <t>20 locations / $4.2m</t>
  </si>
  <si>
    <t>20 locations / $4.8m</t>
  </si>
  <si>
    <t>5.3.1</t>
  </si>
  <si>
    <t>Achive 95% uptime across all deployed vending machines</t>
  </si>
  <si>
    <t>5.3.2</t>
  </si>
  <si>
    <t>Complete installation process within 14 days of site approval</t>
  </si>
  <si>
    <t>5.3.3</t>
  </si>
  <si>
    <t>Achieve 95% fill rate across all deployed vending machines</t>
  </si>
  <si>
    <t>5.3.4</t>
  </si>
  <si>
    <t>Reduce transaction failure rates to below 2%</t>
  </si>
  <si>
    <t>5.3.5</t>
  </si>
  <si>
    <t>Implement 24/7 customer service hotline for VM issues to be resolved within 2 hours</t>
  </si>
  <si>
    <t>2 hours</t>
  </si>
  <si>
    <t xml:space="preserve">Develop and implement a scalable third-party white label partnership framework, targeting x new partnerships and contributing x.x in revenue  &gt;&gt; Monthly reporting </t>
  </si>
  <si>
    <t>5 partnerships / $750k</t>
  </si>
  <si>
    <t>5 partnerships / $900k</t>
  </si>
  <si>
    <t>5 partnerships / $1m</t>
  </si>
  <si>
    <t>5.4.1</t>
  </si>
  <si>
    <t>Ensure reach out coverage to all online food delivery companies for potential partnerships</t>
  </si>
  <si>
    <t>5.4.2</t>
  </si>
  <si>
    <r>
      <t xml:space="preserve">Develop 3 new product lines weekly to imporve offerings </t>
    </r>
    <r>
      <rPr>
        <b/>
        <sz val="11"/>
        <color theme="1"/>
        <rFont val="Aptos Narrow"/>
        <family val="2"/>
        <scheme val="minor"/>
      </rPr>
      <t xml:space="preserve">&gt;&gt; Monthly reporting </t>
    </r>
  </si>
  <si>
    <t>5.4.3</t>
  </si>
  <si>
    <t>Implement a centralised partner portal to track sales and customer paterns to help improve offerings</t>
  </si>
  <si>
    <t>Date</t>
  </si>
  <si>
    <t>Week No</t>
  </si>
  <si>
    <t>Currency</t>
  </si>
  <si>
    <t>FORM</t>
  </si>
  <si>
    <t>Exchange rate to $</t>
  </si>
  <si>
    <t>January</t>
  </si>
  <si>
    <t>SAR</t>
  </si>
  <si>
    <t>W4</t>
  </si>
  <si>
    <t>W5</t>
  </si>
  <si>
    <t>February</t>
  </si>
  <si>
    <t>W6</t>
  </si>
  <si>
    <t>W7</t>
  </si>
  <si>
    <t>W8</t>
  </si>
  <si>
    <t>W9</t>
  </si>
  <si>
    <t>March</t>
  </si>
  <si>
    <t>W10</t>
  </si>
  <si>
    <t>W11</t>
  </si>
  <si>
    <t>W12</t>
  </si>
  <si>
    <t>W13</t>
  </si>
  <si>
    <t>W14</t>
  </si>
  <si>
    <t>April</t>
  </si>
  <si>
    <t>W15</t>
  </si>
  <si>
    <t>W16</t>
  </si>
  <si>
    <t>W17</t>
  </si>
  <si>
    <t>W18</t>
  </si>
  <si>
    <t>May</t>
  </si>
  <si>
    <t>W19</t>
  </si>
  <si>
    <t>W20</t>
  </si>
  <si>
    <t>W21</t>
  </si>
  <si>
    <t>W22</t>
  </si>
  <si>
    <t>W23</t>
  </si>
  <si>
    <t>June</t>
  </si>
  <si>
    <t>W24</t>
  </si>
  <si>
    <t>W25</t>
  </si>
  <si>
    <t>W26</t>
  </si>
  <si>
    <t>W27</t>
  </si>
  <si>
    <t>July</t>
  </si>
  <si>
    <t>W28</t>
  </si>
  <si>
    <t>W29</t>
  </si>
  <si>
    <t>W30</t>
  </si>
  <si>
    <t>W31</t>
  </si>
  <si>
    <t>August</t>
  </si>
  <si>
    <t>W32</t>
  </si>
  <si>
    <t>W33</t>
  </si>
  <si>
    <t>W34</t>
  </si>
  <si>
    <t>W35</t>
  </si>
  <si>
    <t>W36</t>
  </si>
  <si>
    <t>September</t>
  </si>
  <si>
    <t>W37</t>
  </si>
  <si>
    <t>W38</t>
  </si>
  <si>
    <t>W39</t>
  </si>
  <si>
    <t>W40</t>
  </si>
  <si>
    <t>October</t>
  </si>
  <si>
    <t>W41</t>
  </si>
  <si>
    <t>W42</t>
  </si>
  <si>
    <t>W43</t>
  </si>
  <si>
    <t>W44</t>
  </si>
  <si>
    <t>W45</t>
  </si>
  <si>
    <t>November</t>
  </si>
  <si>
    <t>W46</t>
  </si>
  <si>
    <t>W47</t>
  </si>
  <si>
    <t>W48</t>
  </si>
  <si>
    <t>W49</t>
  </si>
  <si>
    <t>December</t>
  </si>
  <si>
    <t>W50</t>
  </si>
  <si>
    <t>W51</t>
  </si>
  <si>
    <t>W52</t>
  </si>
  <si>
    <t>W53</t>
  </si>
  <si>
    <t xml:space="preserve">March </t>
  </si>
  <si>
    <t>Lefties</t>
  </si>
  <si>
    <t>ODP</t>
  </si>
  <si>
    <t xml:space="preserve">Movenpic Hotel </t>
  </si>
  <si>
    <t xml:space="preserve">Candel </t>
  </si>
  <si>
    <t xml:space="preserve">Omna international Day </t>
  </si>
  <si>
    <t xml:space="preserve">House Of Poiner </t>
  </si>
  <si>
    <t xml:space="preserve">OIB </t>
  </si>
  <si>
    <t>DERMEDIC</t>
  </si>
  <si>
    <t>3p</t>
  </si>
  <si>
    <t>Blink Experience LLC.</t>
  </si>
  <si>
    <t xml:space="preserve">Talabat Order </t>
  </si>
  <si>
    <t xml:space="preserve">Oman Housing Bank </t>
  </si>
  <si>
    <t>Amal Al Raisi</t>
  </si>
  <si>
    <t xml:space="preserve">Synergy </t>
  </si>
  <si>
    <t xml:space="preserve">ODP VIP </t>
  </si>
  <si>
    <t xml:space="preserve">Gift </t>
  </si>
  <si>
    <t xml:space="preserve">AFS Group </t>
  </si>
  <si>
    <t>13547256-13547258-</t>
  </si>
  <si>
    <t xml:space="preserve">ODP  Malik </t>
  </si>
  <si>
    <t xml:space="preserve">Chocolate &amp; flowers </t>
  </si>
  <si>
    <t xml:space="preserve">Mubashir </t>
  </si>
  <si>
    <t xml:space="preserve">Haneen ODP </t>
  </si>
  <si>
    <t xml:space="preserve">personal </t>
  </si>
  <si>
    <t xml:space="preserve">Majda OIB </t>
  </si>
  <si>
    <t xml:space="preserve">Ominvest  Dubi Order </t>
  </si>
  <si>
    <t>13547464-13545238-13547388-13547319</t>
  </si>
  <si>
    <t xml:space="preserve">Sohar Order </t>
  </si>
  <si>
    <t xml:space="preserve">April </t>
  </si>
  <si>
    <t>walk in Customer</t>
  </si>
  <si>
    <t xml:space="preserve">TM Done </t>
  </si>
  <si>
    <t>3P</t>
  </si>
  <si>
    <t xml:space="preserve">Talabat </t>
  </si>
  <si>
    <t xml:space="preserve">Talabat Sohar </t>
  </si>
  <si>
    <t>04/13/2025</t>
  </si>
  <si>
    <t xml:space="preserve">Arab Open Univeristy </t>
  </si>
  <si>
    <t xml:space="preserve">event </t>
  </si>
  <si>
    <t>04/14/2025</t>
  </si>
  <si>
    <t>Talabat Sohar</t>
  </si>
  <si>
    <t>04/15/2025</t>
  </si>
  <si>
    <t xml:space="preserve">Lovera Café </t>
  </si>
  <si>
    <t>04/16/2025</t>
  </si>
  <si>
    <t xml:space="preserve">Styles For Event </t>
  </si>
  <si>
    <t>04/17/2025</t>
  </si>
  <si>
    <t>Majid Al Futtim</t>
  </si>
  <si>
    <t xml:space="preserve">Mohamed Al Yahmadi </t>
  </si>
  <si>
    <t>04/23/1900</t>
  </si>
  <si>
    <t xml:space="preserve">Lovera Café Sohar </t>
  </si>
  <si>
    <t>04/23/2025</t>
  </si>
  <si>
    <t>04/24/2025</t>
  </si>
  <si>
    <t>04/27/2025</t>
  </si>
  <si>
    <t>Ministry of Commerce, Industry and Investment Promotion.</t>
  </si>
  <si>
    <t xml:space="preserve">Gov </t>
  </si>
  <si>
    <t xml:space="preserve">paid with tamer </t>
  </si>
  <si>
    <t xml:space="preserve">Hani Al Kindy </t>
  </si>
  <si>
    <t>04/29/2025</t>
  </si>
  <si>
    <t>04/30/2025</t>
  </si>
  <si>
    <t xml:space="preserve">May </t>
  </si>
  <si>
    <t xml:space="preserve"> HOUSE OF PIONEERS LLC</t>
  </si>
  <si>
    <t>Subscription</t>
  </si>
  <si>
    <t xml:space="preserve">Aster Hospital </t>
  </si>
  <si>
    <t xml:space="preserve">Talabt For Muscat </t>
  </si>
  <si>
    <t xml:space="preserve">Rashid </t>
  </si>
  <si>
    <t xml:space="preserve">OCEC </t>
  </si>
  <si>
    <t>14063658 </t>
  </si>
  <si>
    <t>05/13/2025</t>
  </si>
  <si>
    <t xml:space="preserve">Talabt For Sohar </t>
  </si>
  <si>
    <r>
      <t>14061473</t>
    </r>
    <r>
      <rPr>
        <sz val="11"/>
        <color rgb="FF313131"/>
        <rFont val="Source Sans Pro"/>
        <family val="2"/>
      </rPr>
      <t> </t>
    </r>
  </si>
  <si>
    <t>05/14/2025</t>
  </si>
  <si>
    <t>05/15/2025</t>
  </si>
  <si>
    <t>Graduation UTAS</t>
  </si>
  <si>
    <t>05/17/2025</t>
  </si>
  <si>
    <t>05/18/2025</t>
  </si>
  <si>
    <t>05/19/2025</t>
  </si>
  <si>
    <t>05/20/2025</t>
  </si>
  <si>
    <t>Oliban</t>
  </si>
  <si>
    <t>05/21/2025</t>
  </si>
  <si>
    <t xml:space="preserve">Sabeen Event </t>
  </si>
  <si>
    <t>05/25/2025</t>
  </si>
  <si>
    <t xml:space="preserve">MIS </t>
  </si>
  <si>
    <t xml:space="preserve">Offline </t>
  </si>
  <si>
    <r>
      <t>14206740</t>
    </r>
    <r>
      <rPr>
        <sz val="11"/>
        <color rgb="FF313131"/>
        <rFont val="Source Sans Pro"/>
        <family val="2"/>
      </rPr>
      <t> </t>
    </r>
  </si>
  <si>
    <t>05/26/2025</t>
  </si>
  <si>
    <t xml:space="preserve">Hatim aAl Tai </t>
  </si>
  <si>
    <t>05/27/2025</t>
  </si>
  <si>
    <t>OQ8</t>
  </si>
  <si>
    <t>05/28/2025</t>
  </si>
  <si>
    <t>Alandalus Private School Muscat</t>
  </si>
  <si>
    <t>05/29/2025</t>
  </si>
  <si>
    <t>05/30/2025</t>
  </si>
  <si>
    <t>05/31/2025</t>
  </si>
  <si>
    <t xml:space="preserve">Ooredoo Bussines </t>
  </si>
  <si>
    <t xml:space="preserve">Chocolate  </t>
  </si>
  <si>
    <t xml:space="preserve">Flowers &amp; Gift  </t>
  </si>
  <si>
    <t>Flowers</t>
  </si>
  <si>
    <t xml:space="preserve">JW Towel </t>
  </si>
  <si>
    <t xml:space="preserve">Styless For event </t>
  </si>
  <si>
    <t>walk In Rasha</t>
  </si>
  <si>
    <t xml:space="preserve">Paid With Tamer </t>
  </si>
  <si>
    <t xml:space="preserve">Talalbat </t>
  </si>
  <si>
    <t>OHB</t>
  </si>
  <si>
    <t xml:space="preserve">Talalbat Sohar </t>
  </si>
  <si>
    <t xml:space="preserve">ABQ </t>
  </si>
  <si>
    <r>
      <t>14433126</t>
    </r>
    <r>
      <rPr>
        <sz val="11"/>
        <color rgb="FF313131"/>
        <rFont val="Source Sans Pro"/>
        <family val="2"/>
      </rPr>
      <t> </t>
    </r>
  </si>
  <si>
    <t xml:space="preserve">Al Zubair </t>
  </si>
  <si>
    <t xml:space="preserve">Paid Transfer </t>
  </si>
  <si>
    <t xml:space="preserve">Dubi Order </t>
  </si>
  <si>
    <t>Mirna</t>
  </si>
  <si>
    <t>06/14/2025</t>
  </si>
  <si>
    <t xml:space="preserve">OHRC </t>
  </si>
  <si>
    <t>06/16/2025</t>
  </si>
  <si>
    <t xml:space="preserve">Hani Al Kindi </t>
  </si>
  <si>
    <t xml:space="preserve">Paid  POS </t>
  </si>
  <si>
    <t>06/17/2025</t>
  </si>
  <si>
    <t xml:space="preserve">Oman Investment Bank </t>
  </si>
  <si>
    <t>06/18/2025</t>
  </si>
  <si>
    <t>06/19/2025</t>
  </si>
  <si>
    <t>06/22/2025</t>
  </si>
  <si>
    <t>06/23/2025</t>
  </si>
  <si>
    <t>06/24/2025</t>
  </si>
  <si>
    <t>06/28/2025</t>
  </si>
  <si>
    <t xml:space="preserve">M.Housing </t>
  </si>
  <si>
    <t xml:space="preserve">Plants </t>
  </si>
  <si>
    <t>06/29/2025</t>
  </si>
  <si>
    <t>06/30/2025</t>
  </si>
  <si>
    <t xml:space="preserve">July </t>
  </si>
  <si>
    <t xml:space="preserve">offline Sales </t>
  </si>
  <si>
    <t xml:space="preserve">GOV </t>
  </si>
  <si>
    <t xml:space="preserve">PDO Sales </t>
  </si>
  <si>
    <t xml:space="preserve">Sabeen </t>
  </si>
  <si>
    <t>Paid</t>
  </si>
  <si>
    <t xml:space="preserve">Talabat Muscat </t>
  </si>
  <si>
    <t>Al Roya</t>
  </si>
  <si>
    <t xml:space="preserve">Fatma Al Rahibi </t>
  </si>
  <si>
    <t>Paid POS invoice No 422</t>
  </si>
  <si>
    <t xml:space="preserve">Hatim Al Tai </t>
  </si>
  <si>
    <t xml:space="preserve">Transfer To Tamer </t>
  </si>
  <si>
    <t xml:space="preserve">Sohar International Bank </t>
  </si>
  <si>
    <t xml:space="preserve">ABQ Dubi Order </t>
  </si>
  <si>
    <t xml:space="preserve">Paid Firas </t>
  </si>
  <si>
    <t>Mastercard</t>
  </si>
  <si>
    <t xml:space="preserve">OHB </t>
  </si>
  <si>
    <t xml:space="preserve">Sweet </t>
  </si>
  <si>
    <r>
      <t>14970672</t>
    </r>
    <r>
      <rPr>
        <sz val="11"/>
        <color rgb="FF313131"/>
        <rFont val="Source Sans Pro"/>
        <family val="2"/>
      </rPr>
      <t> </t>
    </r>
  </si>
  <si>
    <t>Ooredeoo</t>
  </si>
  <si>
    <t xml:space="preserve">Salalah </t>
  </si>
  <si>
    <t xml:space="preserve">Styles for Event </t>
  </si>
  <si>
    <t xml:space="preserve">Lovera </t>
  </si>
  <si>
    <t xml:space="preserve">Ooredoo </t>
  </si>
  <si>
    <t>ABQ</t>
  </si>
  <si>
    <t xml:space="preserve">Salamair </t>
  </si>
  <si>
    <t>OCEC</t>
  </si>
  <si>
    <t xml:space="preserve">Stylees for Event </t>
  </si>
  <si>
    <t>Oman Investment Bank</t>
  </si>
  <si>
    <t>pls give requisition no and DN</t>
  </si>
  <si>
    <t>GFIH</t>
  </si>
  <si>
    <t>Oman Data park</t>
  </si>
  <si>
    <t>wrong order number</t>
  </si>
  <si>
    <t>Ooredoo Business</t>
  </si>
  <si>
    <t xml:space="preserve"> Hossam</t>
  </si>
  <si>
    <t xml:space="preserve"> Fatma</t>
  </si>
  <si>
    <t>Mariyam</t>
  </si>
  <si>
    <t>Oman Housing Bank</t>
  </si>
  <si>
    <t>NBO</t>
  </si>
  <si>
    <t xml:space="preserve">Salalah Offline Sales </t>
  </si>
  <si>
    <t xml:space="preserve">Walk </t>
  </si>
  <si>
    <t xml:space="preserve">Talabat Salalah </t>
  </si>
  <si>
    <r>
      <t> </t>
    </r>
    <r>
      <rPr>
        <sz val="11"/>
        <color theme="1"/>
        <rFont val="Source Sans Pro"/>
        <family val="2"/>
        <charset val="1"/>
      </rPr>
      <t>synergy</t>
    </r>
  </si>
  <si>
    <t>Sarooj Development</t>
  </si>
  <si>
    <t>عهد</t>
  </si>
  <si>
    <t>TALABAT </t>
  </si>
  <si>
    <t>SHR</t>
  </si>
  <si>
    <t>TALABAT</t>
  </si>
  <si>
    <t>SLL</t>
  </si>
  <si>
    <t>Lovera</t>
  </si>
  <si>
    <t>13/10/2025</t>
  </si>
  <si>
    <t>Hamza Baqer</t>
  </si>
  <si>
    <r>
      <t> </t>
    </r>
    <r>
      <rPr>
        <sz val="11"/>
        <color theme="1"/>
        <rFont val="Source Sans Pro"/>
        <family val="2"/>
        <charset val="1"/>
      </rPr>
      <t>Oman Data park</t>
    </r>
  </si>
  <si>
    <t>15/10/2025</t>
  </si>
  <si>
    <t>OIB</t>
  </si>
  <si>
    <t>16/10/2025</t>
  </si>
  <si>
    <t>Sohar Aluminum</t>
  </si>
  <si>
    <t>Maather albaloshi</t>
  </si>
  <si>
    <t>Mahaseel Albon</t>
  </si>
  <si>
    <t>Zubir</t>
  </si>
  <si>
    <t>17/10/2025</t>
  </si>
  <si>
    <t>Miaad</t>
  </si>
  <si>
    <t>Engage Oman</t>
  </si>
  <si>
    <t>Firas</t>
  </si>
  <si>
    <t>NAZ</t>
  </si>
  <si>
    <t>Qutuf </t>
  </si>
  <si>
    <t>19/10/2025</t>
  </si>
  <si>
    <t>SHARQ AMAZING UNTED OQEP</t>
  </si>
  <si>
    <t>21/10/2025</t>
  </si>
  <si>
    <t>PDO</t>
  </si>
  <si>
    <t>Sabeen Agency</t>
  </si>
  <si>
    <t>OXY</t>
  </si>
  <si>
    <t>Thawani </t>
  </si>
  <si>
    <t>22/10/2025</t>
  </si>
  <si>
    <t>Hani Abdulaziz</t>
  </si>
  <si>
    <r>
      <t> </t>
    </r>
    <r>
      <rPr>
        <sz val="11"/>
        <color theme="1"/>
        <rFont val="Source Sans Pro"/>
        <family val="2"/>
        <charset val="1"/>
      </rPr>
      <t>Sohar International</t>
    </r>
  </si>
  <si>
    <t>ZBOM Oman</t>
  </si>
  <si>
    <t>23/10/2025</t>
  </si>
  <si>
    <t>Sabeen Agency ( OQ8)</t>
  </si>
  <si>
    <t>26/10/2025</t>
  </si>
  <si>
    <t>Dr.Yaseer</t>
  </si>
  <si>
    <t>SAAF</t>
  </si>
  <si>
    <t>TALABAT MCT</t>
  </si>
  <si>
    <t>TALABAT SHR</t>
  </si>
  <si>
    <t>TALABAT SLL</t>
  </si>
  <si>
    <t xml:space="preserve">Dubai Order </t>
  </si>
  <si>
    <t>Fatma</t>
  </si>
  <si>
    <t>27/10/2025</t>
  </si>
  <si>
    <t>15855697 </t>
  </si>
  <si>
    <t>Sohar International</t>
  </si>
  <si>
    <t>Offline shop SLL</t>
  </si>
  <si>
    <r>
      <t>15868488</t>
    </r>
    <r>
      <rPr>
        <sz val="11"/>
        <color rgb="FF313131"/>
        <rFont val="Source Sans Pro"/>
        <family val="2"/>
      </rPr>
      <t> </t>
    </r>
  </si>
  <si>
    <t>Eyestone LLC</t>
  </si>
  <si>
    <t xml:space="preserve">Flowers   &amp; Chocolate </t>
  </si>
  <si>
    <t>15879462 </t>
  </si>
  <si>
    <t xml:space="preserve">Ooredeoo businees </t>
  </si>
  <si>
    <t xml:space="preserve">Offline Sales Muscat </t>
  </si>
  <si>
    <t>Asalalaa</t>
  </si>
  <si>
    <t>Deliverd</t>
  </si>
  <si>
    <t>Nawaf</t>
  </si>
  <si>
    <t>Amal</t>
  </si>
  <si>
    <t xml:space="preserve">paid to Tamer </t>
  </si>
  <si>
    <t xml:space="preserve">Talabat MCT </t>
  </si>
  <si>
    <t>Talabat SLL</t>
  </si>
  <si>
    <t>Talabat order for</t>
  </si>
  <si>
    <t>Synergy</t>
  </si>
  <si>
    <t xml:space="preserve"> Ooredoo Business</t>
  </si>
  <si>
    <t xml:space="preserve">Cash </t>
  </si>
  <si>
    <t>Fahad S A S</t>
  </si>
  <si>
    <t xml:space="preserve"> Oman Data park</t>
  </si>
  <si>
    <t>Talabat order for 9 - 15 Nov MCT</t>
  </si>
  <si>
    <t>TALABAT for 11 - 15 Nov SLL</t>
  </si>
  <si>
    <t>TALABAT for 9 - 14 Nov SHR</t>
  </si>
  <si>
    <t>Oman college of management and technology</t>
  </si>
  <si>
    <t xml:space="preserve">Paid with Tamer </t>
  </si>
  <si>
    <t xml:space="preserve">M.Culture, Sports And Youth </t>
  </si>
  <si>
    <t xml:space="preserve">Sohar aluminum </t>
  </si>
  <si>
    <t>Bader</t>
  </si>
  <si>
    <t>Talabat order for 16 - 24</t>
  </si>
  <si>
    <t>Talabat order for 18 - 19 NOV SHR</t>
  </si>
  <si>
    <t>SLL Offline shop sales</t>
  </si>
  <si>
    <t>Talabat order for 18 - 23 NOV SLL</t>
  </si>
  <si>
    <t>Offline sales 30 NOV MCT</t>
  </si>
  <si>
    <t>Talabat order for 26 NOV SHR</t>
  </si>
  <si>
    <t>Talabat order for 26 NOV Sll</t>
  </si>
  <si>
    <t>Seven Seas Petroleum</t>
  </si>
  <si>
    <t xml:space="preserve">Basma Media </t>
  </si>
  <si>
    <t>OIB ( Majda )</t>
  </si>
  <si>
    <t xml:space="preserve">Evet </t>
  </si>
  <si>
    <t>Middle East Collag</t>
  </si>
  <si>
    <t>US Embassy</t>
  </si>
  <si>
    <t xml:space="preserve">Walk in Customer </t>
  </si>
  <si>
    <t>12/14/2025</t>
  </si>
  <si>
    <t xml:space="preserve">Hiba </t>
  </si>
  <si>
    <t>AFS Group</t>
  </si>
  <si>
    <t>12/16/2025</t>
  </si>
  <si>
    <t>12/18/2025</t>
  </si>
  <si>
    <t>12/21/2025</t>
  </si>
  <si>
    <t xml:space="preserve">Talalbat Muscat </t>
  </si>
  <si>
    <t xml:space="preserve">Talalbat Salalah </t>
  </si>
  <si>
    <t>12/23/2025</t>
  </si>
  <si>
    <t xml:space="preserve">Aster Hospitsl </t>
  </si>
  <si>
    <t>12/24/2025</t>
  </si>
  <si>
    <t>12/25/2025</t>
  </si>
  <si>
    <t>Walk in Customer (ooredeoo)</t>
  </si>
  <si>
    <t>12/28/2025</t>
  </si>
  <si>
    <t>12/29/2025</t>
  </si>
  <si>
    <t>12/31/2025</t>
  </si>
  <si>
    <t xml:space="preserve">Nafla </t>
  </si>
  <si>
    <t>16524753 </t>
  </si>
  <si>
    <t>State Audit Institution</t>
  </si>
  <si>
    <t xml:space="preserve">offline Sales  Salalah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</si>
</sst>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£&quot;* #,##0.00_-;\-&quot;£&quot;* #,##0.00_-;_-&quot;£&quot;* &quot;-&quot;??_-;_-@_-"/>
    <numFmt numFmtId="164" formatCode="_(* #,##0.00_);_(* \(#,##0.00\);_(* &quot;-&quot;??_);_(@_)"/>
    <numFmt numFmtId="165" formatCode="_-[$OMR]\ * #,##0.00_-;\-[$OMR]\ * #,##0.00_-;_-[$OMR]\ * &quot;-&quot;??_-;_-@_-"/>
    <numFmt numFmtId="166" formatCode="_([$OMR]\ * #,##0.00_);_([$OMR]\ * \(#,##0.00\);_([$OMR]\ * &quot;-&quot;??_);_(@_)"/>
    <numFmt numFmtId="167" formatCode="0.0"/>
    <numFmt numFmtId="168" formatCode="_(* #,##0_);_(* \(#,##0\);_(* &quot;-&quot;??_);_(@_)"/>
    <numFmt numFmtId="169" formatCode="_(&quot;$&quot;* #,##0_);_(&quot;$&quot;* \(#,##0\);_(&quot;$&quot;* &quot;-&quot;??_);_(@_)"/>
    <numFmt numFmtId="170" formatCode="_([$$-409]* #,##0.00_);_([$$-409]* \(#,##0.00\);_([$$-409]* &quot;-&quot;??_);_(@_)"/>
    <numFmt numFmtId="171" formatCode="_([$OMR]\ * #,##0.0_);_([$OMR]\ * \(#,##0.0\);_([$OMR]\ * &quot;-&quot;?_);_(@_)"/>
  </numFmts>
  <fonts count="4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13131"/>
      <name val="Source Sans Pro"/>
      <family val="2"/>
    </font>
    <font>
      <u/>
      <sz val="11"/>
      <color rgb="FF313131"/>
      <name val="Arial"/>
      <family val="2"/>
    </font>
    <font>
      <sz val="11"/>
      <color rgb="FF313131"/>
      <name val="Arial"/>
      <family val="2"/>
    </font>
    <font>
      <u/>
      <sz val="11"/>
      <color rgb="FF313131"/>
      <name val="Source Sans Pro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"/>
      <family val="2"/>
    </font>
    <font>
      <sz val="11"/>
      <color theme="0"/>
      <name val="Aptos"/>
      <family val="2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 Narrow"/>
      <family val="2"/>
    </font>
    <font>
      <sz val="11"/>
      <color theme="0"/>
      <name val="Calibri"/>
      <family val="2"/>
    </font>
    <font>
      <sz val="9"/>
      <color rgb="FF1D1C1D"/>
      <name val="Arial"/>
      <family val="2"/>
    </font>
    <font>
      <sz val="11"/>
      <color theme="1"/>
      <name val="Calibri"/>
      <family val="2"/>
    </font>
    <font>
      <sz val="11"/>
      <color theme="1"/>
      <name val="Source Sans Pro"/>
      <family val="2"/>
    </font>
    <font>
      <sz val="12"/>
      <color rgb="FF000000"/>
      <name val="Calibri"/>
      <family val="2"/>
    </font>
    <font>
      <sz val="12"/>
      <color rgb="FF242424"/>
      <name val="Calibri"/>
      <family val="2"/>
    </font>
    <font>
      <sz val="12"/>
      <color rgb="FF313131"/>
      <name val="Calibri"/>
      <family val="2"/>
    </font>
    <font>
      <u/>
      <sz val="12"/>
      <color rgb="FF313131"/>
      <name val="Calibri"/>
      <family val="2"/>
    </font>
    <font>
      <sz val="11.5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u/>
      <sz val="11"/>
      <color rgb="FFFF000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8"/>
      <color theme="1"/>
      <name val="Inherit"/>
    </font>
    <font>
      <sz val="12"/>
      <color theme="1"/>
      <name val="Calibri"/>
      <family val="2"/>
    </font>
    <font>
      <sz val="11"/>
      <color theme="1"/>
      <name val="Source Sans Pro"/>
      <family val="2"/>
      <charset val="1"/>
    </font>
    <font>
      <sz val="11"/>
      <color theme="1"/>
      <name val="Aptos Display"/>
      <family val="2"/>
      <scheme val="major"/>
    </font>
    <font>
      <b/>
      <sz val="11"/>
      <color rgb="FF0C697E"/>
      <name val="Source Sans Pro"/>
      <family val="2"/>
      <charset val="1"/>
    </font>
    <font>
      <sz val="8"/>
      <color rgb="FF313131"/>
      <name val="Source Sans Pro"/>
      <family val="2"/>
    </font>
    <font>
      <u/>
      <sz val="9"/>
      <color rgb="FF1D1C1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FC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458">
    <xf numFmtId="0" fontId="0" fillId="0" borderId="0" xfId="0"/>
    <xf numFmtId="165" fontId="0" fillId="0" borderId="0" xfId="1" applyNumberFormat="1" applyFont="1"/>
    <xf numFmtId="10" fontId="0" fillId="0" borderId="0" xfId="0" applyNumberFormat="1"/>
    <xf numFmtId="165" fontId="0" fillId="0" borderId="0" xfId="1" applyNumberFormat="1" applyFont="1" applyFill="1"/>
    <xf numFmtId="165" fontId="0" fillId="0" borderId="0" xfId="2" applyNumberFormat="1" applyFont="1"/>
    <xf numFmtId="10" fontId="0" fillId="0" borderId="0" xfId="2" applyNumberFormat="1" applyFont="1"/>
    <xf numFmtId="14" fontId="0" fillId="0" borderId="0" xfId="0" applyNumberFormat="1" applyAlignment="1">
      <alignment horizontal="left"/>
    </xf>
    <xf numFmtId="165" fontId="0" fillId="0" borderId="0" xfId="0" applyNumberFormat="1"/>
    <xf numFmtId="0" fontId="3" fillId="0" borderId="0" xfId="4"/>
    <xf numFmtId="14" fontId="0" fillId="0" borderId="1" xfId="0" applyNumberFormat="1" applyBorder="1" applyAlignment="1">
      <alignment horizontal="left"/>
    </xf>
    <xf numFmtId="9" fontId="0" fillId="0" borderId="0" xfId="0" applyNumberFormat="1"/>
    <xf numFmtId="0" fontId="0" fillId="2" borderId="0" xfId="0" applyFill="1"/>
    <xf numFmtId="165" fontId="0" fillId="2" borderId="0" xfId="0" applyNumberFormat="1" applyFill="1"/>
    <xf numFmtId="9" fontId="0" fillId="2" borderId="0" xfId="0" applyNumberFormat="1" applyFill="1"/>
    <xf numFmtId="9" fontId="0" fillId="0" borderId="0" xfId="2" applyFont="1"/>
    <xf numFmtId="166" fontId="0" fillId="0" borderId="0" xfId="1" applyNumberFormat="1" applyFont="1"/>
    <xf numFmtId="166" fontId="0" fillId="0" borderId="0" xfId="1" applyNumberFormat="1" applyFont="1" applyFill="1"/>
    <xf numFmtId="0" fontId="4" fillId="0" borderId="0" xfId="0" applyFont="1" applyAlignment="1">
      <alignment horizontal="left"/>
    </xf>
    <xf numFmtId="0" fontId="3" fillId="0" borderId="0" xfId="4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8" fillId="0" borderId="0" xfId="0" applyFont="1"/>
    <xf numFmtId="167" fontId="9" fillId="4" borderId="0" xfId="0" applyNumberFormat="1" applyFont="1" applyFill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0" xfId="0" applyFont="1" applyFill="1" applyAlignment="1">
      <alignment horizontal="right"/>
    </xf>
    <xf numFmtId="0" fontId="10" fillId="0" borderId="0" xfId="0" applyFont="1"/>
    <xf numFmtId="167" fontId="10" fillId="0" borderId="0" xfId="0" applyNumberFormat="1" applyFont="1" applyAlignment="1">
      <alignment horizontal="center"/>
    </xf>
    <xf numFmtId="9" fontId="10" fillId="0" borderId="0" xfId="2" applyFont="1"/>
    <xf numFmtId="0" fontId="10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167" fontId="8" fillId="5" borderId="0" xfId="0" applyNumberFormat="1" applyFont="1" applyFill="1" applyAlignment="1">
      <alignment horizontal="center"/>
    </xf>
    <xf numFmtId="0" fontId="8" fillId="5" borderId="0" xfId="0" applyFont="1" applyFill="1" applyAlignment="1">
      <alignment wrapText="1"/>
    </xf>
    <xf numFmtId="0" fontId="8" fillId="5" borderId="0" xfId="0" applyFont="1" applyFill="1" applyAlignment="1">
      <alignment horizontal="center" wrapText="1"/>
    </xf>
    <xf numFmtId="9" fontId="8" fillId="5" borderId="0" xfId="2" applyFont="1" applyFill="1" applyAlignment="1">
      <alignment horizontal="center" wrapText="1"/>
    </xf>
    <xf numFmtId="0" fontId="9" fillId="0" borderId="0" xfId="0" applyFont="1" applyAlignment="1">
      <alignment vertical="center"/>
    </xf>
    <xf numFmtId="167" fontId="13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vertical="center"/>
    </xf>
    <xf numFmtId="9" fontId="9" fillId="6" borderId="0" xfId="2" applyFont="1" applyFill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7" fontId="16" fillId="7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right" vertical="center"/>
    </xf>
    <xf numFmtId="0" fontId="0" fillId="7" borderId="0" xfId="0" applyFill="1" applyAlignment="1">
      <alignment horizontal="right" vertical="center"/>
    </xf>
    <xf numFmtId="167" fontId="13" fillId="9" borderId="0" xfId="0" applyNumberFormat="1" applyFont="1" applyFill="1" applyAlignment="1">
      <alignment horizontal="center" vertical="center"/>
    </xf>
    <xf numFmtId="0" fontId="18" fillId="0" borderId="0" xfId="0" applyFont="1"/>
    <xf numFmtId="9" fontId="19" fillId="0" borderId="0" xfId="2" applyFont="1" applyAlignment="1">
      <alignment horizontal="center"/>
    </xf>
    <xf numFmtId="0" fontId="0" fillId="0" borderId="0" xfId="0" applyAlignment="1">
      <alignment horizontal="right" vertical="center"/>
    </xf>
    <xf numFmtId="9" fontId="8" fillId="8" borderId="0" xfId="0" applyNumberFormat="1" applyFont="1" applyFill="1" applyAlignment="1">
      <alignment horizontal="right" vertical="center"/>
    </xf>
    <xf numFmtId="168" fontId="8" fillId="8" borderId="0" xfId="5" applyNumberFormat="1" applyFont="1" applyFill="1" applyAlignment="1">
      <alignment horizontal="right" vertical="center"/>
    </xf>
    <xf numFmtId="168" fontId="8" fillId="8" borderId="0" xfId="5" applyNumberFormat="1" applyFont="1" applyFill="1" applyAlignment="1">
      <alignment horizontal="center" vertical="center"/>
    </xf>
    <xf numFmtId="1" fontId="19" fillId="0" borderId="0" xfId="2" applyNumberFormat="1" applyFont="1" applyAlignment="1">
      <alignment horizontal="center"/>
    </xf>
    <xf numFmtId="169" fontId="0" fillId="7" borderId="0" xfId="3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9" fontId="8" fillId="8" borderId="0" xfId="3" applyNumberFormat="1" applyFont="1" applyFill="1" applyAlignment="1">
      <alignment horizontal="right" vertical="center"/>
    </xf>
    <xf numFmtId="169" fontId="0" fillId="0" borderId="0" xfId="3" applyNumberFormat="1" applyFont="1" applyAlignment="1">
      <alignment horizontal="center" vertical="center"/>
    </xf>
    <xf numFmtId="0" fontId="19" fillId="0" borderId="0" xfId="2" applyNumberFormat="1" applyFont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7" borderId="0" xfId="2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9" fillId="0" borderId="0" xfId="5" applyNumberFormat="1" applyFont="1" applyAlignment="1">
      <alignment horizontal="center"/>
    </xf>
    <xf numFmtId="9" fontId="19" fillId="0" borderId="0" xfId="2" applyFont="1" applyFill="1" applyAlignment="1">
      <alignment horizontal="center"/>
    </xf>
    <xf numFmtId="9" fontId="8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9" fontId="8" fillId="8" borderId="0" xfId="2" applyFont="1" applyFill="1" applyAlignment="1">
      <alignment vertical="center"/>
    </xf>
    <xf numFmtId="0" fontId="1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7" fillId="2" borderId="0" xfId="0" applyFont="1" applyFill="1"/>
    <xf numFmtId="0" fontId="18" fillId="2" borderId="0" xfId="0" applyFont="1" applyFill="1"/>
    <xf numFmtId="165" fontId="1" fillId="0" borderId="0" xfId="1" applyNumberFormat="1" applyFont="1" applyFill="1"/>
    <xf numFmtId="166" fontId="0" fillId="7" borderId="0" xfId="3" applyNumberFormat="1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171" fontId="0" fillId="7" borderId="0" xfId="2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0" fontId="0" fillId="0" borderId="0" xfId="0" pivotButton="1"/>
    <xf numFmtId="0" fontId="2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165" fontId="0" fillId="3" borderId="1" xfId="1" applyNumberFormat="1" applyFont="1" applyFill="1" applyBorder="1"/>
    <xf numFmtId="165" fontId="0" fillId="7" borderId="0" xfId="0" applyNumberFormat="1" applyFill="1" applyAlignment="1">
      <alignment horizontal="right" vertical="center"/>
    </xf>
    <xf numFmtId="165" fontId="0" fillId="9" borderId="0" xfId="1" applyNumberFormat="1" applyFont="1" applyFill="1"/>
    <xf numFmtId="0" fontId="22" fillId="0" borderId="0" xfId="0" applyFont="1"/>
    <xf numFmtId="0" fontId="23" fillId="0" borderId="0" xfId="0" applyFont="1"/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165" fontId="24" fillId="2" borderId="0" xfId="0" applyNumberFormat="1" applyFont="1" applyFill="1"/>
    <xf numFmtId="165" fontId="24" fillId="2" borderId="0" xfId="0" applyNumberFormat="1" applyFont="1" applyFill="1" applyAlignment="1">
      <alignment horizontal="right"/>
    </xf>
    <xf numFmtId="166" fontId="0" fillId="2" borderId="0" xfId="1" applyNumberFormat="1" applyFont="1" applyFill="1"/>
    <xf numFmtId="0" fontId="0" fillId="3" borderId="1" xfId="0" applyFill="1" applyBorder="1"/>
    <xf numFmtId="0" fontId="0" fillId="3" borderId="4" xfId="0" applyFill="1" applyBorder="1"/>
    <xf numFmtId="0" fontId="0" fillId="0" borderId="1" xfId="0" applyBorder="1"/>
    <xf numFmtId="0" fontId="0" fillId="0" borderId="4" xfId="0" applyBorder="1"/>
    <xf numFmtId="0" fontId="8" fillId="11" borderId="1" xfId="0" applyFont="1" applyFill="1" applyBorder="1"/>
    <xf numFmtId="0" fontId="8" fillId="11" borderId="4" xfId="0" applyFont="1" applyFill="1" applyBorder="1"/>
    <xf numFmtId="0" fontId="0" fillId="3" borderId="5" xfId="0" applyFill="1" applyBorder="1"/>
    <xf numFmtId="0" fontId="8" fillId="11" borderId="5" xfId="0" applyFont="1" applyFill="1" applyBorder="1"/>
    <xf numFmtId="14" fontId="8" fillId="11" borderId="1" xfId="0" applyNumberFormat="1" applyFont="1" applyFill="1" applyBorder="1" applyAlignment="1">
      <alignment horizontal="center" vertical="center"/>
    </xf>
    <xf numFmtId="10" fontId="8" fillId="11" borderId="1" xfId="0" applyNumberFormat="1" applyFont="1" applyFill="1" applyBorder="1"/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66" fontId="0" fillId="3" borderId="1" xfId="1" applyNumberFormat="1" applyFont="1" applyFill="1" applyBorder="1"/>
    <xf numFmtId="165" fontId="0" fillId="3" borderId="1" xfId="2" applyNumberFormat="1" applyFont="1" applyFill="1" applyBorder="1"/>
    <xf numFmtId="9" fontId="0" fillId="3" borderId="1" xfId="0" applyNumberFormat="1" applyFill="1" applyBorder="1"/>
    <xf numFmtId="165" fontId="0" fillId="3" borderId="1" xfId="0" applyNumberFormat="1" applyFill="1" applyBorder="1"/>
    <xf numFmtId="166" fontId="0" fillId="0" borderId="1" xfId="1" applyNumberFormat="1" applyFont="1" applyBorder="1"/>
    <xf numFmtId="165" fontId="0" fillId="0" borderId="1" xfId="1" applyNumberFormat="1" applyFont="1" applyBorder="1"/>
    <xf numFmtId="165" fontId="0" fillId="0" borderId="1" xfId="2" applyNumberFormat="1" applyFont="1" applyBorder="1"/>
    <xf numFmtId="9" fontId="0" fillId="0" borderId="1" xfId="0" applyNumberFormat="1" applyBorder="1"/>
    <xf numFmtId="165" fontId="0" fillId="0" borderId="1" xfId="0" applyNumberFormat="1" applyBorder="1"/>
    <xf numFmtId="0" fontId="22" fillId="3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23" fillId="3" borderId="1" xfId="0" applyFont="1" applyFill="1" applyBorder="1" applyAlignment="1">
      <alignment horizontal="left"/>
    </xf>
    <xf numFmtId="165" fontId="0" fillId="0" borderId="1" xfId="2" applyNumberFormat="1" applyFont="1" applyBorder="1" applyAlignment="1">
      <alignment horizontal="left"/>
    </xf>
    <xf numFmtId="165" fontId="0" fillId="3" borderId="1" xfId="2" applyNumberFormat="1" applyFont="1" applyFill="1" applyBorder="1" applyAlignment="1">
      <alignment horizontal="left"/>
    </xf>
    <xf numFmtId="166" fontId="0" fillId="3" borderId="0" xfId="1" applyNumberFormat="1" applyFont="1" applyFill="1" applyBorder="1"/>
    <xf numFmtId="0" fontId="22" fillId="0" borderId="0" xfId="0" applyFont="1" applyAlignment="1">
      <alignment horizontal="left"/>
    </xf>
    <xf numFmtId="165" fontId="0" fillId="0" borderId="1" xfId="2" applyNumberFormat="1" applyFont="1" applyFill="1" applyBorder="1"/>
    <xf numFmtId="165" fontId="0" fillId="3" borderId="0" xfId="2" applyNumberFormat="1" applyFont="1" applyFill="1" applyBorder="1" applyAlignment="1">
      <alignment horizontal="left"/>
    </xf>
    <xf numFmtId="0" fontId="3" fillId="0" borderId="1" xfId="4" applyBorder="1"/>
    <xf numFmtId="165" fontId="0" fillId="0" borderId="0" xfId="1" applyNumberFormat="1" applyFont="1" applyFill="1" applyBorder="1"/>
    <xf numFmtId="0" fontId="4" fillId="0" borderId="0" xfId="0" applyFont="1"/>
    <xf numFmtId="165" fontId="0" fillId="0" borderId="0" xfId="2" applyNumberFormat="1" applyFont="1" applyFill="1" applyBorder="1"/>
    <xf numFmtId="165" fontId="0" fillId="2" borderId="1" xfId="2" applyNumberFormat="1" applyFont="1" applyFill="1" applyBorder="1" applyAlignment="1">
      <alignment horizontal="left"/>
    </xf>
    <xf numFmtId="166" fontId="0" fillId="12" borderId="0" xfId="1" applyNumberFormat="1" applyFont="1" applyFill="1" applyBorder="1"/>
    <xf numFmtId="165" fontId="0" fillId="2" borderId="0" xfId="1" applyNumberFormat="1" applyFont="1" applyFill="1" applyBorder="1"/>
    <xf numFmtId="0" fontId="0" fillId="12" borderId="1" xfId="0" applyFill="1" applyBorder="1"/>
    <xf numFmtId="0" fontId="0" fillId="2" borderId="1" xfId="0" applyFill="1" applyBorder="1"/>
    <xf numFmtId="0" fontId="3" fillId="2" borderId="0" xfId="4" applyFill="1"/>
    <xf numFmtId="166" fontId="0" fillId="12" borderId="1" xfId="1" applyNumberFormat="1" applyFont="1" applyFill="1" applyBorder="1"/>
    <xf numFmtId="165" fontId="0" fillId="12" borderId="1" xfId="1" applyNumberFormat="1" applyFont="1" applyFill="1" applyBorder="1"/>
    <xf numFmtId="165" fontId="0" fillId="2" borderId="1" xfId="2" applyNumberFormat="1" applyFont="1" applyFill="1" applyBorder="1"/>
    <xf numFmtId="9" fontId="0" fillId="2" borderId="1" xfId="0" applyNumberFormat="1" applyFill="1" applyBorder="1"/>
    <xf numFmtId="165" fontId="0" fillId="2" borderId="1" xfId="0" applyNumberFormat="1" applyFill="1" applyBorder="1"/>
    <xf numFmtId="165" fontId="0" fillId="13" borderId="1" xfId="2" applyNumberFormat="1" applyFont="1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165" fontId="0" fillId="14" borderId="1" xfId="2" applyNumberFormat="1" applyFont="1" applyFill="1" applyBorder="1"/>
    <xf numFmtId="0" fontId="22" fillId="14" borderId="0" xfId="0" applyFont="1" applyFill="1"/>
    <xf numFmtId="0" fontId="0" fillId="14" borderId="0" xfId="0" applyFill="1"/>
    <xf numFmtId="165" fontId="0" fillId="15" borderId="1" xfId="2" applyNumberFormat="1" applyFont="1" applyFill="1" applyBorder="1" applyAlignment="1">
      <alignment horizontal="left"/>
    </xf>
    <xf numFmtId="165" fontId="0" fillId="14" borderId="1" xfId="2" applyNumberFormat="1" applyFont="1" applyFill="1" applyBorder="1" applyAlignment="1">
      <alignment horizontal="left"/>
    </xf>
    <xf numFmtId="0" fontId="23" fillId="14" borderId="0" xfId="0" applyFont="1" applyFill="1" applyAlignment="1">
      <alignment horizontal="left"/>
    </xf>
    <xf numFmtId="165" fontId="0" fillId="0" borderId="10" xfId="2" applyNumberFormat="1" applyFont="1" applyBorder="1"/>
    <xf numFmtId="0" fontId="0" fillId="0" borderId="10" xfId="0" applyBorder="1"/>
    <xf numFmtId="0" fontId="0" fillId="0" borderId="9" xfId="0" applyBorder="1"/>
    <xf numFmtId="0" fontId="23" fillId="3" borderId="9" xfId="0" applyFont="1" applyFill="1" applyBorder="1" applyAlignment="1">
      <alignment horizontal="left"/>
    </xf>
    <xf numFmtId="166" fontId="0" fillId="3" borderId="9" xfId="1" applyNumberFormat="1" applyFont="1" applyFill="1" applyBorder="1"/>
    <xf numFmtId="165" fontId="0" fillId="0" borderId="9" xfId="0" applyNumberFormat="1" applyBorder="1"/>
    <xf numFmtId="165" fontId="0" fillId="0" borderId="9" xfId="1" applyNumberFormat="1" applyFont="1" applyFill="1" applyBorder="1"/>
    <xf numFmtId="0" fontId="0" fillId="3" borderId="9" xfId="0" applyFill="1" applyBorder="1"/>
    <xf numFmtId="0" fontId="3" fillId="0" borderId="9" xfId="4" applyBorder="1"/>
    <xf numFmtId="165" fontId="0" fillId="14" borderId="9" xfId="2" applyNumberFormat="1" applyFont="1" applyFill="1" applyBorder="1"/>
    <xf numFmtId="165" fontId="0" fillId="0" borderId="9" xfId="2" applyNumberFormat="1" applyFont="1" applyBorder="1"/>
    <xf numFmtId="165" fontId="0" fillId="0" borderId="9" xfId="2" applyNumberFormat="1" applyFont="1" applyFill="1" applyBorder="1"/>
    <xf numFmtId="165" fontId="0" fillId="3" borderId="9" xfId="0" applyNumberFormat="1" applyFill="1" applyBorder="1"/>
    <xf numFmtId="165" fontId="0" fillId="0" borderId="9" xfId="1" applyNumberFormat="1" applyFont="1" applyBorder="1"/>
    <xf numFmtId="165" fontId="0" fillId="9" borderId="9" xfId="2" applyNumberFormat="1" applyFont="1" applyFill="1" applyBorder="1" applyAlignment="1">
      <alignment horizontal="left"/>
    </xf>
    <xf numFmtId="166" fontId="0" fillId="15" borderId="9" xfId="1" applyNumberFormat="1" applyFont="1" applyFill="1" applyBorder="1"/>
    <xf numFmtId="165" fontId="0" fillId="9" borderId="9" xfId="0" applyNumberFormat="1" applyFill="1" applyBorder="1"/>
    <xf numFmtId="165" fontId="0" fillId="9" borderId="9" xfId="1" applyNumberFormat="1" applyFont="1" applyFill="1" applyBorder="1"/>
    <xf numFmtId="0" fontId="0" fillId="15" borderId="9" xfId="0" applyFill="1" applyBorder="1"/>
    <xf numFmtId="0" fontId="0" fillId="9" borderId="9" xfId="0" applyFill="1" applyBorder="1"/>
    <xf numFmtId="0" fontId="3" fillId="9" borderId="9" xfId="4" applyFill="1" applyBorder="1"/>
    <xf numFmtId="0" fontId="12" fillId="2" borderId="8" xfId="0" applyFont="1" applyFill="1" applyBorder="1"/>
    <xf numFmtId="0" fontId="12" fillId="2" borderId="6" xfId="0" applyFont="1" applyFill="1" applyBorder="1"/>
    <xf numFmtId="14" fontId="12" fillId="2" borderId="6" xfId="0" applyNumberFormat="1" applyFont="1" applyFill="1" applyBorder="1" applyAlignment="1">
      <alignment horizontal="center" vertical="center"/>
    </xf>
    <xf numFmtId="165" fontId="12" fillId="2" borderId="6" xfId="0" applyNumberFormat="1" applyFont="1" applyFill="1" applyBorder="1"/>
    <xf numFmtId="9" fontId="12" fillId="2" borderId="6" xfId="0" applyNumberFormat="1" applyFont="1" applyFill="1" applyBorder="1"/>
    <xf numFmtId="0" fontId="12" fillId="2" borderId="7" xfId="0" applyFont="1" applyFill="1" applyBorder="1"/>
    <xf numFmtId="166" fontId="0" fillId="0" borderId="0" xfId="1" applyNumberFormat="1" applyFont="1" applyFill="1" applyBorder="1"/>
    <xf numFmtId="166" fontId="0" fillId="0" borderId="0" xfId="1" applyNumberFormat="1" applyFont="1" applyBorder="1"/>
    <xf numFmtId="0" fontId="28" fillId="0" borderId="0" xfId="0" applyFont="1"/>
    <xf numFmtId="166" fontId="12" fillId="0" borderId="0" xfId="0" applyNumberFormat="1" applyFont="1"/>
    <xf numFmtId="0" fontId="30" fillId="0" borderId="0" xfId="0" applyFont="1" applyAlignment="1">
      <alignment horizontal="left"/>
    </xf>
    <xf numFmtId="166" fontId="29" fillId="0" borderId="1" xfId="1" applyNumberFormat="1" applyFont="1" applyFill="1" applyBorder="1"/>
    <xf numFmtId="166" fontId="29" fillId="3" borderId="0" xfId="1" applyNumberFormat="1" applyFont="1" applyFill="1" applyBorder="1"/>
    <xf numFmtId="165" fontId="29" fillId="3" borderId="1" xfId="1" applyNumberFormat="1" applyFont="1" applyFill="1" applyBorder="1"/>
    <xf numFmtId="0" fontId="29" fillId="0" borderId="0" xfId="0" applyFont="1"/>
    <xf numFmtId="0" fontId="29" fillId="0" borderId="1" xfId="0" applyFont="1" applyBorder="1"/>
    <xf numFmtId="0" fontId="31" fillId="0" borderId="0" xfId="4" applyFont="1"/>
    <xf numFmtId="166" fontId="29" fillId="3" borderId="1" xfId="1" applyNumberFormat="1" applyFont="1" applyFill="1" applyBorder="1"/>
    <xf numFmtId="0" fontId="32" fillId="0" borderId="0" xfId="0" applyFont="1" applyAlignment="1">
      <alignment horizontal="left"/>
    </xf>
    <xf numFmtId="166" fontId="33" fillId="0" borderId="0" xfId="1" applyNumberFormat="1" applyFont="1" applyBorder="1"/>
    <xf numFmtId="166" fontId="33" fillId="3" borderId="0" xfId="1" applyNumberFormat="1" applyFont="1" applyFill="1" applyBorder="1"/>
    <xf numFmtId="165" fontId="33" fillId="3" borderId="1" xfId="1" applyNumberFormat="1" applyFont="1" applyFill="1" applyBorder="1"/>
    <xf numFmtId="0" fontId="33" fillId="0" borderId="0" xfId="0" applyFont="1"/>
    <xf numFmtId="0" fontId="33" fillId="0" borderId="1" xfId="0" applyFont="1" applyBorder="1"/>
    <xf numFmtId="0" fontId="34" fillId="0" borderId="0" xfId="4" applyFont="1"/>
    <xf numFmtId="166" fontId="29" fillId="0" borderId="0" xfId="1" applyNumberFormat="1" applyFont="1" applyFill="1" applyBorder="1"/>
    <xf numFmtId="0" fontId="8" fillId="11" borderId="10" xfId="0" applyFont="1" applyFill="1" applyBorder="1"/>
    <xf numFmtId="0" fontId="22" fillId="0" borderId="9" xfId="0" applyFont="1" applyBorder="1" applyAlignment="1">
      <alignment horizontal="left"/>
    </xf>
    <xf numFmtId="0" fontId="22" fillId="3" borderId="9" xfId="0" applyFont="1" applyFill="1" applyBorder="1" applyAlignment="1">
      <alignment horizontal="left"/>
    </xf>
    <xf numFmtId="0" fontId="7" fillId="0" borderId="0" xfId="0" applyFont="1"/>
    <xf numFmtId="0" fontId="0" fillId="0" borderId="11" xfId="0" applyBorder="1"/>
    <xf numFmtId="0" fontId="22" fillId="2" borderId="0" xfId="0" applyFont="1" applyFill="1" applyAlignment="1">
      <alignment horizontal="left"/>
    </xf>
    <xf numFmtId="166" fontId="0" fillId="2" borderId="0" xfId="1" applyNumberFormat="1" applyFont="1" applyFill="1" applyBorder="1"/>
    <xf numFmtId="0" fontId="22" fillId="12" borderId="9" xfId="0" applyFont="1" applyFill="1" applyBorder="1" applyAlignment="1">
      <alignment horizontal="left"/>
    </xf>
    <xf numFmtId="0" fontId="3" fillId="2" borderId="0" xfId="4" applyFill="1" applyAlignment="1">
      <alignment horizontal="left"/>
    </xf>
    <xf numFmtId="0" fontId="0" fillId="2" borderId="9" xfId="0" applyFill="1" applyBorder="1"/>
    <xf numFmtId="0" fontId="0" fillId="12" borderId="1" xfId="0" applyFill="1" applyBorder="1" applyAlignment="1">
      <alignment horizontal="left"/>
    </xf>
    <xf numFmtId="165" fontId="0" fillId="3" borderId="0" xfId="1" applyNumberFormat="1" applyFont="1" applyFill="1" applyBorder="1"/>
    <xf numFmtId="0" fontId="0" fillId="3" borderId="0" xfId="0" applyFill="1"/>
    <xf numFmtId="0" fontId="0" fillId="0" borderId="1" xfId="0" applyBorder="1" applyAlignment="1">
      <alignment horizontal="center"/>
    </xf>
    <xf numFmtId="0" fontId="29" fillId="3" borderId="0" xfId="0" applyFont="1" applyFill="1"/>
    <xf numFmtId="0" fontId="31" fillId="0" borderId="0" xfId="4" applyFont="1" applyAlignment="1">
      <alignment horizontal="left"/>
    </xf>
    <xf numFmtId="0" fontId="3" fillId="0" borderId="0" xfId="4" applyAlignment="1">
      <alignment horizontal="left" vertical="center" wrapText="1"/>
    </xf>
    <xf numFmtId="4" fontId="0" fillId="0" borderId="0" xfId="0" applyNumberFormat="1"/>
    <xf numFmtId="0" fontId="0" fillId="3" borderId="11" xfId="0" applyFill="1" applyBorder="1"/>
    <xf numFmtId="0" fontId="35" fillId="16" borderId="12" xfId="0" applyFont="1" applyFill="1" applyBorder="1" applyAlignment="1">
      <alignment horizontal="center" vertical="center" wrapText="1"/>
    </xf>
    <xf numFmtId="0" fontId="3" fillId="16" borderId="12" xfId="4" applyFill="1" applyBorder="1" applyAlignment="1">
      <alignment horizontal="left" vertical="center" wrapText="1"/>
    </xf>
    <xf numFmtId="0" fontId="35" fillId="16" borderId="12" xfId="0" applyFont="1" applyFill="1" applyBorder="1" applyAlignment="1">
      <alignment horizontal="left" vertical="center" wrapText="1"/>
    </xf>
    <xf numFmtId="14" fontId="0" fillId="12" borderId="0" xfId="0" applyNumberFormat="1" applyFill="1" applyAlignment="1">
      <alignment horizontal="center" vertical="center"/>
    </xf>
    <xf numFmtId="0" fontId="0" fillId="2" borderId="11" xfId="0" applyFill="1" applyBorder="1"/>
    <xf numFmtId="166" fontId="12" fillId="12" borderId="0" xfId="1" applyNumberFormat="1" applyFont="1" applyFill="1" applyBorder="1"/>
    <xf numFmtId="0" fontId="0" fillId="12" borderId="0" xfId="0" applyFill="1"/>
    <xf numFmtId="166" fontId="0" fillId="15" borderId="0" xfId="1" applyNumberFormat="1" applyFont="1" applyFill="1" applyBorder="1"/>
    <xf numFmtId="165" fontId="0" fillId="15" borderId="1" xfId="1" applyNumberFormat="1" applyFont="1" applyFill="1" applyBorder="1"/>
    <xf numFmtId="0" fontId="3" fillId="16" borderId="12" xfId="4" applyFill="1" applyBorder="1" applyAlignment="1">
      <alignment horizontal="center" vertical="center" wrapText="1"/>
    </xf>
    <xf numFmtId="166" fontId="33" fillId="0" borderId="1" xfId="1" applyNumberFormat="1" applyFont="1" applyFill="1" applyBorder="1"/>
    <xf numFmtId="166" fontId="33" fillId="15" borderId="0" xfId="1" applyNumberFormat="1" applyFont="1" applyFill="1" applyBorder="1"/>
    <xf numFmtId="165" fontId="33" fillId="15" borderId="1" xfId="1" applyNumberFormat="1" applyFont="1" applyFill="1" applyBorder="1"/>
    <xf numFmtId="0" fontId="32" fillId="9" borderId="0" xfId="0" applyFont="1" applyFill="1" applyAlignment="1">
      <alignment horizontal="left"/>
    </xf>
    <xf numFmtId="166" fontId="33" fillId="9" borderId="0" xfId="1" applyNumberFormat="1" applyFont="1" applyFill="1" applyBorder="1"/>
    <xf numFmtId="0" fontId="0" fillId="9" borderId="0" xfId="0" applyFill="1"/>
    <xf numFmtId="0" fontId="22" fillId="9" borderId="0" xfId="0" applyFont="1" applyFill="1" applyAlignment="1">
      <alignment horizontal="left"/>
    </xf>
    <xf numFmtId="166" fontId="0" fillId="9" borderId="1" xfId="1" applyNumberFormat="1" applyFont="1" applyFill="1" applyBorder="1"/>
    <xf numFmtId="166" fontId="0" fillId="9" borderId="0" xfId="1" applyNumberFormat="1" applyFont="1" applyFill="1" applyBorder="1"/>
    <xf numFmtId="0" fontId="36" fillId="0" borderId="0" xfId="0" applyFont="1"/>
    <xf numFmtId="0" fontId="0" fillId="3" borderId="0" xfId="0" applyFill="1" applyAlignment="1">
      <alignment vertical="center"/>
    </xf>
    <xf numFmtId="166" fontId="0" fillId="0" borderId="1" xfId="1" applyNumberFormat="1" applyFont="1" applyFill="1" applyBorder="1"/>
    <xf numFmtId="166" fontId="33" fillId="0" borderId="0" xfId="1" applyNumberFormat="1" applyFont="1" applyFill="1" applyBorder="1"/>
    <xf numFmtId="166" fontId="33" fillId="15" borderId="1" xfId="1" applyNumberFormat="1" applyFont="1" applyFill="1" applyBorder="1"/>
    <xf numFmtId="166" fontId="0" fillId="15" borderId="1" xfId="1" applyNumberFormat="1" applyFont="1" applyFill="1" applyBorder="1"/>
    <xf numFmtId="165" fontId="0" fillId="3" borderId="0" xfId="2" applyNumberFormat="1" applyFont="1" applyFill="1" applyBorder="1"/>
    <xf numFmtId="165" fontId="0" fillId="0" borderId="0" xfId="2" applyNumberFormat="1" applyFont="1" applyBorder="1"/>
    <xf numFmtId="9" fontId="0" fillId="3" borderId="0" xfId="0" applyNumberFormat="1" applyFill="1"/>
    <xf numFmtId="165" fontId="0" fillId="3" borderId="0" xfId="0" applyNumberFormat="1" applyFill="1"/>
    <xf numFmtId="0" fontId="3" fillId="16" borderId="0" xfId="4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left" vertical="center"/>
    </xf>
    <xf numFmtId="14" fontId="0" fillId="3" borderId="0" xfId="0" applyNumberFormat="1" applyFill="1" applyAlignment="1">
      <alignment horizontal="left" vertical="center"/>
    </xf>
    <xf numFmtId="0" fontId="0" fillId="0" borderId="5" xfId="0" applyBorder="1"/>
    <xf numFmtId="14" fontId="0" fillId="2" borderId="0" xfId="0" applyNumberFormat="1" applyFill="1" applyAlignment="1">
      <alignment horizontal="left"/>
    </xf>
    <xf numFmtId="166" fontId="12" fillId="2" borderId="0" xfId="1" applyNumberFormat="1" applyFont="1" applyFill="1" applyBorder="1"/>
    <xf numFmtId="166" fontId="0" fillId="2" borderId="1" xfId="1" applyNumberFormat="1" applyFont="1" applyFill="1" applyBorder="1"/>
    <xf numFmtId="0" fontId="23" fillId="2" borderId="0" xfId="0" applyFont="1" applyFill="1"/>
    <xf numFmtId="165" fontId="0" fillId="12" borderId="0" xfId="2" applyNumberFormat="1" applyFont="1" applyFill="1" applyBorder="1"/>
    <xf numFmtId="9" fontId="0" fillId="12" borderId="0" xfId="0" applyNumberFormat="1" applyFill="1"/>
    <xf numFmtId="165" fontId="0" fillId="12" borderId="0" xfId="0" applyNumberFormat="1" applyFill="1"/>
    <xf numFmtId="0" fontId="0" fillId="0" borderId="13" xfId="0" applyBorder="1" applyAlignment="1">
      <alignment horizontal="center" vertical="center"/>
    </xf>
    <xf numFmtId="166" fontId="0" fillId="2" borderId="13" xfId="1" applyNumberFormat="1" applyFont="1" applyFill="1" applyBorder="1" applyAlignment="1">
      <alignment horizontal="center" vertical="center"/>
    </xf>
    <xf numFmtId="165" fontId="0" fillId="2" borderId="13" xfId="1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66" fontId="0" fillId="12" borderId="13" xfId="1" applyNumberFormat="1" applyFont="1" applyFill="1" applyBorder="1" applyAlignment="1">
      <alignment horizontal="center" vertical="center"/>
    </xf>
    <xf numFmtId="166" fontId="0" fillId="15" borderId="13" xfId="1" applyNumberFormat="1" applyFont="1" applyFill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4" fontId="0" fillId="17" borderId="13" xfId="0" applyNumberFormat="1" applyFill="1" applyBorder="1" applyAlignment="1">
      <alignment horizontal="center" vertical="center"/>
    </xf>
    <xf numFmtId="166" fontId="0" fillId="17" borderId="13" xfId="0" applyNumberFormat="1" applyFill="1" applyBorder="1" applyAlignment="1">
      <alignment horizontal="center" vertical="center"/>
    </xf>
    <xf numFmtId="14" fontId="0" fillId="3" borderId="13" xfId="0" applyNumberForma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165" fontId="0" fillId="15" borderId="13" xfId="1" applyNumberFormat="1" applyFont="1" applyFill="1" applyBorder="1" applyAlignment="1">
      <alignment horizontal="center" vertical="center"/>
    </xf>
    <xf numFmtId="0" fontId="3" fillId="0" borderId="13" xfId="4" applyBorder="1" applyAlignment="1">
      <alignment horizontal="center" vertical="center"/>
    </xf>
    <xf numFmtId="166" fontId="0" fillId="17" borderId="13" xfId="1" applyNumberFormat="1" applyFont="1" applyFill="1" applyBorder="1" applyAlignment="1">
      <alignment horizontal="center" vertical="center"/>
    </xf>
    <xf numFmtId="0" fontId="0" fillId="0" borderId="13" xfId="0" applyBorder="1"/>
    <xf numFmtId="165" fontId="0" fillId="0" borderId="13" xfId="2" applyNumberFormat="1" applyFont="1" applyBorder="1"/>
    <xf numFmtId="9" fontId="0" fillId="0" borderId="13" xfId="0" applyNumberFormat="1" applyBorder="1"/>
    <xf numFmtId="165" fontId="0" fillId="0" borderId="13" xfId="0" applyNumberFormat="1" applyBorder="1"/>
    <xf numFmtId="0" fontId="22" fillId="0" borderId="13" xfId="0" applyFont="1" applyBorder="1" applyAlignment="1">
      <alignment horizontal="center" vertical="center"/>
    </xf>
    <xf numFmtId="0" fontId="0" fillId="17" borderId="13" xfId="0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165" fontId="0" fillId="12" borderId="13" xfId="1" applyNumberFormat="1" applyFont="1" applyFill="1" applyBorder="1" applyAlignment="1">
      <alignment horizontal="center" vertical="center"/>
    </xf>
    <xf numFmtId="0" fontId="32" fillId="2" borderId="13" xfId="0" applyFont="1" applyFill="1" applyBorder="1" applyAlignment="1">
      <alignment horizontal="center" vertical="center"/>
    </xf>
    <xf numFmtId="166" fontId="33" fillId="12" borderId="13" xfId="1" applyNumberFormat="1" applyFont="1" applyFill="1" applyBorder="1" applyAlignment="1">
      <alignment horizontal="center" vertical="center"/>
    </xf>
    <xf numFmtId="165" fontId="33" fillId="12" borderId="13" xfId="1" applyNumberFormat="1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166" fontId="33" fillId="15" borderId="13" xfId="1" applyNumberFormat="1" applyFont="1" applyFill="1" applyBorder="1" applyAlignment="1">
      <alignment horizontal="center" vertical="center"/>
    </xf>
    <xf numFmtId="165" fontId="33" fillId="15" borderId="13" xfId="1" applyNumberFormat="1" applyFont="1" applyFill="1" applyBorder="1" applyAlignment="1">
      <alignment horizontal="center" vertical="center"/>
    </xf>
    <xf numFmtId="0" fontId="0" fillId="9" borderId="13" xfId="0" applyFill="1" applyBorder="1"/>
    <xf numFmtId="0" fontId="3" fillId="0" borderId="13" xfId="4" applyBorder="1" applyAlignment="1">
      <alignment horizontal="center"/>
    </xf>
    <xf numFmtId="14" fontId="8" fillId="11" borderId="10" xfId="0" applyNumberFormat="1" applyFont="1" applyFill="1" applyBorder="1" applyAlignment="1">
      <alignment horizontal="center" vertical="center"/>
    </xf>
    <xf numFmtId="10" fontId="8" fillId="11" borderId="10" xfId="0" applyNumberFormat="1" applyFont="1" applyFill="1" applyBorder="1"/>
    <xf numFmtId="0" fontId="0" fillId="0" borderId="14" xfId="0" applyBorder="1" applyAlignment="1">
      <alignment horizontal="center" vertical="center"/>
    </xf>
    <xf numFmtId="165" fontId="0" fillId="9" borderId="13" xfId="2" applyNumberFormat="1" applyFont="1" applyFill="1" applyBorder="1"/>
    <xf numFmtId="9" fontId="0" fillId="9" borderId="13" xfId="0" applyNumberFormat="1" applyFill="1" applyBorder="1"/>
    <xf numFmtId="165" fontId="0" fillId="9" borderId="13" xfId="0" applyNumberFormat="1" applyFill="1" applyBorder="1"/>
    <xf numFmtId="165" fontId="0" fillId="9" borderId="13" xfId="1" applyNumberFormat="1" applyFont="1" applyFill="1" applyBorder="1" applyAlignment="1">
      <alignment horizontal="center" vertical="center"/>
    </xf>
    <xf numFmtId="166" fontId="0" fillId="15" borderId="15" xfId="1" applyNumberFormat="1" applyFont="1" applyFill="1" applyBorder="1" applyAlignment="1">
      <alignment horizontal="center" vertical="center"/>
    </xf>
    <xf numFmtId="166" fontId="0" fillId="12" borderId="15" xfId="1" applyNumberFormat="1" applyFont="1" applyFill="1" applyBorder="1" applyAlignment="1">
      <alignment horizontal="center" vertical="center"/>
    </xf>
    <xf numFmtId="166" fontId="0" fillId="3" borderId="15" xfId="1" applyNumberFormat="1" applyFont="1" applyFill="1" applyBorder="1" applyAlignment="1">
      <alignment horizontal="center" vertical="center"/>
    </xf>
    <xf numFmtId="0" fontId="3" fillId="2" borderId="16" xfId="4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7" xfId="0" applyBorder="1"/>
    <xf numFmtId="0" fontId="0" fillId="9" borderId="16" xfId="0" applyFill="1" applyBorder="1" applyAlignment="1">
      <alignment horizontal="center" vertical="center"/>
    </xf>
    <xf numFmtId="166" fontId="0" fillId="9" borderId="13" xfId="1" applyNumberFormat="1" applyFon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3" xfId="0" applyFill="1" applyBorder="1" applyAlignment="1">
      <alignment vertical="center"/>
    </xf>
    <xf numFmtId="0" fontId="0" fillId="9" borderId="14" xfId="0" applyFill="1" applyBorder="1"/>
    <xf numFmtId="166" fontId="0" fillId="17" borderId="14" xfId="0" applyNumberFormat="1" applyFill="1" applyBorder="1" applyAlignment="1">
      <alignment horizontal="center" vertical="center"/>
    </xf>
    <xf numFmtId="14" fontId="0" fillId="17" borderId="14" xfId="0" applyNumberFormat="1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3" fillId="0" borderId="0" xfId="4" applyAlignment="1">
      <alignment horizontal="center"/>
    </xf>
    <xf numFmtId="166" fontId="12" fillId="2" borderId="6" xfId="0" applyNumberFormat="1" applyFont="1" applyFill="1" applyBorder="1"/>
    <xf numFmtId="166" fontId="12" fillId="2" borderId="0" xfId="0" applyNumberFormat="1" applyFont="1" applyFill="1"/>
    <xf numFmtId="14" fontId="0" fillId="9" borderId="13" xfId="0" applyNumberFormat="1" applyFill="1" applyBorder="1" applyAlignment="1">
      <alignment vertical="center"/>
    </xf>
    <xf numFmtId="14" fontId="0" fillId="9" borderId="13" xfId="0" applyNumberFormat="1" applyFill="1" applyBorder="1"/>
    <xf numFmtId="14" fontId="0" fillId="0" borderId="13" xfId="0" applyNumberFormat="1" applyBorder="1"/>
    <xf numFmtId="0" fontId="37" fillId="0" borderId="13" xfId="0" applyFont="1" applyBorder="1"/>
    <xf numFmtId="0" fontId="39" fillId="0" borderId="13" xfId="0" applyFont="1" applyBorder="1"/>
    <xf numFmtId="166" fontId="0" fillId="0" borderId="0" xfId="0" applyNumberFormat="1"/>
    <xf numFmtId="0" fontId="3" fillId="0" borderId="13" xfId="4" applyBorder="1"/>
    <xf numFmtId="14" fontId="37" fillId="0" borderId="13" xfId="0" applyNumberFormat="1" applyFont="1" applyBorder="1"/>
    <xf numFmtId="0" fontId="37" fillId="0" borderId="13" xfId="0" applyFont="1" applyBorder="1" applyAlignment="1">
      <alignment horizontal="left"/>
    </xf>
    <xf numFmtId="166" fontId="0" fillId="17" borderId="13" xfId="0" applyNumberFormat="1" applyFill="1" applyBorder="1"/>
    <xf numFmtId="0" fontId="0" fillId="17" borderId="13" xfId="0" applyFill="1" applyBorder="1" applyAlignment="1">
      <alignment horizontal="center"/>
    </xf>
    <xf numFmtId="0" fontId="0" fillId="17" borderId="13" xfId="0" applyFill="1" applyBorder="1"/>
    <xf numFmtId="0" fontId="0" fillId="17" borderId="17" xfId="0" applyFill="1" applyBorder="1"/>
    <xf numFmtId="0" fontId="37" fillId="0" borderId="17" xfId="0" applyFont="1" applyBorder="1"/>
    <xf numFmtId="166" fontId="0" fillId="17" borderId="17" xfId="0" applyNumberFormat="1" applyFill="1" applyBorder="1"/>
    <xf numFmtId="166" fontId="0" fillId="15" borderId="17" xfId="1" applyNumberFormat="1" applyFont="1" applyFill="1" applyBorder="1" applyAlignment="1">
      <alignment horizontal="center" vertical="center"/>
    </xf>
    <xf numFmtId="165" fontId="0" fillId="15" borderId="17" xfId="1" applyNumberFormat="1" applyFont="1" applyFill="1" applyBorder="1" applyAlignment="1">
      <alignment horizontal="center" vertical="center"/>
    </xf>
    <xf numFmtId="0" fontId="0" fillId="17" borderId="17" xfId="0" applyFill="1" applyBorder="1" applyAlignment="1">
      <alignment horizontal="center"/>
    </xf>
    <xf numFmtId="0" fontId="0" fillId="17" borderId="17" xfId="0" applyFill="1" applyBorder="1" applyAlignment="1">
      <alignment horizontal="center" vertical="center"/>
    </xf>
    <xf numFmtId="0" fontId="3" fillId="0" borderId="17" xfId="4" applyBorder="1"/>
    <xf numFmtId="0" fontId="23" fillId="0" borderId="13" xfId="0" applyFont="1" applyBorder="1"/>
    <xf numFmtId="0" fontId="23" fillId="17" borderId="13" xfId="0" applyFont="1" applyFill="1" applyBorder="1"/>
    <xf numFmtId="14" fontId="23" fillId="0" borderId="13" xfId="0" applyNumberFormat="1" applyFont="1" applyBorder="1"/>
    <xf numFmtId="0" fontId="8" fillId="11" borderId="0" xfId="0" applyFont="1" applyFill="1"/>
    <xf numFmtId="0" fontId="37" fillId="0" borderId="18" xfId="0" applyFont="1" applyBorder="1"/>
    <xf numFmtId="0" fontId="0" fillId="17" borderId="13" xfId="0" applyFill="1" applyBorder="1" applyAlignment="1">
      <alignment horizontal="left"/>
    </xf>
    <xf numFmtId="14" fontId="0" fillId="17" borderId="13" xfId="0" applyNumberFormat="1" applyFill="1" applyBorder="1" applyAlignment="1">
      <alignment horizontal="left"/>
    </xf>
    <xf numFmtId="0" fontId="0" fillId="17" borderId="16" xfId="0" applyFill="1" applyBorder="1" applyAlignment="1">
      <alignment horizontal="center"/>
    </xf>
    <xf numFmtId="165" fontId="0" fillId="15" borderId="9" xfId="1" applyNumberFormat="1" applyFont="1" applyFill="1" applyBorder="1" applyAlignment="1">
      <alignment horizontal="center" vertical="center"/>
    </xf>
    <xf numFmtId="0" fontId="38" fillId="2" borderId="13" xfId="0" applyFont="1" applyFill="1" applyBorder="1" applyAlignment="1">
      <alignment vertical="center"/>
    </xf>
    <xf numFmtId="165" fontId="0" fillId="2" borderId="13" xfId="2" applyNumberFormat="1" applyFont="1" applyFill="1" applyBorder="1"/>
    <xf numFmtId="9" fontId="0" fillId="2" borderId="13" xfId="0" applyNumberFormat="1" applyFill="1" applyBorder="1"/>
    <xf numFmtId="165" fontId="0" fillId="2" borderId="13" xfId="0" applyNumberFormat="1" applyFill="1" applyBorder="1"/>
    <xf numFmtId="0" fontId="3" fillId="2" borderId="13" xfId="4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3" fillId="2" borderId="13" xfId="4" applyFill="1" applyBorder="1"/>
    <xf numFmtId="0" fontId="23" fillId="2" borderId="13" xfId="0" applyFont="1" applyFill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39" fillId="2" borderId="13" xfId="0" applyFont="1" applyFill="1" applyBorder="1"/>
    <xf numFmtId="0" fontId="0" fillId="2" borderId="13" xfId="0" applyFill="1" applyBorder="1"/>
    <xf numFmtId="0" fontId="37" fillId="2" borderId="13" xfId="0" applyFont="1" applyFill="1" applyBorder="1"/>
    <xf numFmtId="166" fontId="0" fillId="2" borderId="13" xfId="0" applyNumberFormat="1" applyFill="1" applyBorder="1"/>
    <xf numFmtId="0" fontId="0" fillId="2" borderId="13" xfId="0" applyFill="1" applyBorder="1" applyAlignment="1">
      <alignment horizontal="center"/>
    </xf>
    <xf numFmtId="0" fontId="37" fillId="2" borderId="17" xfId="0" applyFont="1" applyFill="1" applyBorder="1"/>
    <xf numFmtId="166" fontId="0" fillId="2" borderId="17" xfId="0" applyNumberFormat="1" applyFill="1" applyBorder="1"/>
    <xf numFmtId="166" fontId="0" fillId="12" borderId="17" xfId="1" applyNumberFormat="1" applyFont="1" applyFill="1" applyBorder="1" applyAlignment="1">
      <alignment horizontal="center" vertical="center"/>
    </xf>
    <xf numFmtId="165" fontId="0" fillId="12" borderId="17" xfId="1" applyNumberFormat="1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17" xfId="0" applyFill="1" applyBorder="1" applyAlignment="1">
      <alignment horizontal="center" vertical="center"/>
    </xf>
    <xf numFmtId="0" fontId="3" fillId="2" borderId="17" xfId="4" applyFill="1" applyBorder="1"/>
    <xf numFmtId="0" fontId="23" fillId="2" borderId="13" xfId="0" applyFont="1" applyFill="1" applyBorder="1" applyAlignment="1">
      <alignment horizontal="center" vertical="center"/>
    </xf>
    <xf numFmtId="0" fontId="3" fillId="9" borderId="16" xfId="4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32" fillId="9" borderId="13" xfId="0" applyFont="1" applyFill="1" applyBorder="1" applyAlignment="1">
      <alignment horizontal="center" vertical="center"/>
    </xf>
    <xf numFmtId="166" fontId="33" fillId="9" borderId="13" xfId="1" applyNumberFormat="1" applyFon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166" fontId="33" fillId="2" borderId="13" xfId="1" applyNumberFormat="1" applyFont="1" applyFill="1" applyBorder="1" applyAlignment="1">
      <alignment horizontal="center" vertical="center"/>
    </xf>
    <xf numFmtId="166" fontId="33" fillId="2" borderId="15" xfId="1" applyNumberFormat="1" applyFont="1" applyFill="1" applyBorder="1" applyAlignment="1">
      <alignment horizontal="center" vertical="center"/>
    </xf>
    <xf numFmtId="166" fontId="0" fillId="9" borderId="15" xfId="1" applyNumberFormat="1" applyFont="1" applyFill="1" applyBorder="1" applyAlignment="1">
      <alignment horizontal="center" vertical="center"/>
    </xf>
    <xf numFmtId="0" fontId="33" fillId="2" borderId="14" xfId="0" applyFont="1" applyFill="1" applyBorder="1"/>
    <xf numFmtId="0" fontId="33" fillId="2" borderId="13" xfId="0" applyFont="1" applyFill="1" applyBorder="1" applyAlignment="1">
      <alignment horizontal="center" vertical="center"/>
    </xf>
    <xf numFmtId="166" fontId="0" fillId="2" borderId="13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" fillId="18" borderId="13" xfId="4" applyFill="1" applyBorder="1" applyAlignment="1">
      <alignment horizontal="center" vertical="center"/>
    </xf>
    <xf numFmtId="0" fontId="0" fillId="18" borderId="13" xfId="0" applyFill="1" applyBorder="1" applyAlignment="1">
      <alignment horizontal="center" vertical="center"/>
    </xf>
    <xf numFmtId="0" fontId="3" fillId="18" borderId="13" xfId="4" applyFill="1" applyBorder="1"/>
    <xf numFmtId="0" fontId="4" fillId="2" borderId="13" xfId="0" applyFont="1" applyFill="1" applyBorder="1" applyAlignment="1">
      <alignment horizontal="right"/>
    </xf>
    <xf numFmtId="0" fontId="3" fillId="2" borderId="0" xfId="4" applyFill="1" applyBorder="1"/>
    <xf numFmtId="166" fontId="0" fillId="15" borderId="19" xfId="1" applyNumberFormat="1" applyFont="1" applyFill="1" applyBorder="1" applyAlignment="1">
      <alignment horizontal="center" vertical="center"/>
    </xf>
    <xf numFmtId="0" fontId="37" fillId="0" borderId="0" xfId="0" applyFont="1"/>
    <xf numFmtId="0" fontId="4" fillId="0" borderId="13" xfId="0" applyFont="1" applyBorder="1"/>
    <xf numFmtId="166" fontId="0" fillId="0" borderId="13" xfId="0" applyNumberFormat="1" applyBorder="1"/>
    <xf numFmtId="166" fontId="0" fillId="17" borderId="0" xfId="0" applyNumberFormat="1" applyFill="1"/>
    <xf numFmtId="0" fontId="0" fillId="17" borderId="19" xfId="0" applyFill="1" applyBorder="1" applyAlignment="1">
      <alignment horizontal="center"/>
    </xf>
    <xf numFmtId="0" fontId="3" fillId="0" borderId="0" xfId="4" applyBorder="1"/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3" fillId="18" borderId="0" xfId="4" applyFill="1" applyBorder="1"/>
    <xf numFmtId="0" fontId="0" fillId="18" borderId="0" xfId="0" applyFill="1" applyAlignment="1">
      <alignment horizontal="center" vertical="center"/>
    </xf>
    <xf numFmtId="0" fontId="3" fillId="14" borderId="16" xfId="4" applyFill="1" applyBorder="1" applyAlignment="1">
      <alignment horizontal="center" vertical="center"/>
    </xf>
    <xf numFmtId="0" fontId="0" fillId="18" borderId="16" xfId="0" applyFill="1" applyBorder="1" applyAlignment="1">
      <alignment horizontal="center" vertical="center"/>
    </xf>
    <xf numFmtId="0" fontId="12" fillId="20" borderId="20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0" fontId="12" fillId="20" borderId="22" xfId="0" applyFont="1" applyFill="1" applyBorder="1" applyAlignment="1">
      <alignment horizontal="center" vertical="center"/>
    </xf>
    <xf numFmtId="14" fontId="0" fillId="7" borderId="13" xfId="0" applyNumberForma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19" borderId="13" xfId="0" applyFill="1" applyBorder="1" applyAlignment="1">
      <alignment vertical="center"/>
    </xf>
    <xf numFmtId="0" fontId="0" fillId="19" borderId="15" xfId="0" applyFill="1" applyBorder="1" applyAlignment="1">
      <alignment vertical="center"/>
    </xf>
    <xf numFmtId="0" fontId="3" fillId="0" borderId="13" xfId="4" applyBorder="1" applyAlignment="1">
      <alignment vertical="center"/>
    </xf>
    <xf numFmtId="0" fontId="0" fillId="0" borderId="16" xfId="0" applyBorder="1" applyAlignment="1">
      <alignment vertical="center"/>
    </xf>
    <xf numFmtId="166" fontId="0" fillId="7" borderId="13" xfId="0" applyNumberFormat="1" applyFill="1" applyBorder="1" applyAlignment="1">
      <alignment vertical="center"/>
    </xf>
    <xf numFmtId="166" fontId="0" fillId="0" borderId="13" xfId="0" applyNumberFormat="1" applyBorder="1" applyAlignment="1">
      <alignment vertical="center"/>
    </xf>
    <xf numFmtId="0" fontId="3" fillId="0" borderId="17" xfId="4" applyBorder="1" applyAlignment="1">
      <alignment vertical="center"/>
    </xf>
    <xf numFmtId="14" fontId="0" fillId="0" borderId="13" xfId="0" applyNumberFormat="1" applyBorder="1" applyAlignment="1">
      <alignment vertical="center"/>
    </xf>
    <xf numFmtId="0" fontId="0" fillId="2" borderId="13" xfId="0" applyFill="1" applyBorder="1" applyAlignment="1">
      <alignment vertical="center"/>
    </xf>
    <xf numFmtId="166" fontId="0" fillId="2" borderId="13" xfId="0" applyNumberForma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40" fillId="0" borderId="0" xfId="0" applyFont="1"/>
    <xf numFmtId="0" fontId="38" fillId="9" borderId="13" xfId="0" applyFont="1" applyFill="1" applyBorder="1" applyAlignment="1">
      <alignment vertical="center"/>
    </xf>
    <xf numFmtId="0" fontId="3" fillId="9" borderId="13" xfId="4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39" fillId="9" borderId="13" xfId="0" applyFont="1" applyFill="1" applyBorder="1"/>
    <xf numFmtId="0" fontId="23" fillId="9" borderId="13" xfId="0" applyFont="1" applyFill="1" applyBorder="1" applyAlignment="1">
      <alignment vertical="center"/>
    </xf>
    <xf numFmtId="0" fontId="37" fillId="9" borderId="13" xfId="0" applyFont="1" applyFill="1" applyBorder="1"/>
    <xf numFmtId="0" fontId="0" fillId="3" borderId="0" xfId="0" applyFill="1" applyAlignment="1">
      <alignment horizontal="center" vertical="center"/>
    </xf>
    <xf numFmtId="14" fontId="37" fillId="0" borderId="15" xfId="0" applyNumberFormat="1" applyFont="1" applyBorder="1"/>
    <xf numFmtId="0" fontId="23" fillId="0" borderId="17" xfId="0" applyFont="1" applyBorder="1"/>
    <xf numFmtId="166" fontId="0" fillId="17" borderId="17" xfId="1" applyNumberFormat="1" applyFont="1" applyFill="1" applyBorder="1" applyAlignment="1">
      <alignment horizontal="center" vertical="center"/>
    </xf>
    <xf numFmtId="165" fontId="0" fillId="9" borderId="17" xfId="2" applyNumberFormat="1" applyFont="1" applyFill="1" applyBorder="1"/>
    <xf numFmtId="9" fontId="0" fillId="9" borderId="17" xfId="0" applyNumberFormat="1" applyFill="1" applyBorder="1"/>
    <xf numFmtId="165" fontId="0" fillId="9" borderId="17" xfId="0" applyNumberFormat="1" applyFill="1" applyBorder="1"/>
    <xf numFmtId="0" fontId="3" fillId="0" borderId="17" xfId="4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3" fillId="0" borderId="9" xfId="0" applyFont="1" applyBorder="1"/>
    <xf numFmtId="166" fontId="0" fillId="17" borderId="9" xfId="1" applyNumberFormat="1" applyFont="1" applyFill="1" applyBorder="1" applyAlignment="1">
      <alignment horizontal="center" vertical="center"/>
    </xf>
    <xf numFmtId="166" fontId="0" fillId="15" borderId="9" xfId="1" applyNumberFormat="1" applyFont="1" applyFill="1" applyBorder="1" applyAlignment="1">
      <alignment horizontal="center" vertical="center"/>
    </xf>
    <xf numFmtId="166" fontId="0" fillId="9" borderId="9" xfId="1" applyNumberFormat="1" applyFont="1" applyFill="1" applyBorder="1" applyAlignment="1">
      <alignment horizontal="center" vertical="center"/>
    </xf>
    <xf numFmtId="165" fontId="0" fillId="9" borderId="9" xfId="2" applyNumberFormat="1" applyFont="1" applyFill="1" applyBorder="1"/>
    <xf numFmtId="9" fontId="0" fillId="9" borderId="9" xfId="0" applyNumberFormat="1" applyFill="1" applyBorder="1"/>
    <xf numFmtId="0" fontId="3" fillId="0" borderId="9" xfId="4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3" fillId="0" borderId="11" xfId="0" applyFont="1" applyBorder="1"/>
    <xf numFmtId="166" fontId="0" fillId="17" borderId="11" xfId="1" applyNumberFormat="1" applyFont="1" applyFill="1" applyBorder="1" applyAlignment="1">
      <alignment horizontal="center" vertical="center"/>
    </xf>
    <xf numFmtId="166" fontId="0" fillId="15" borderId="11" xfId="1" applyNumberFormat="1" applyFont="1" applyFill="1" applyBorder="1" applyAlignment="1">
      <alignment horizontal="center" vertical="center"/>
    </xf>
    <xf numFmtId="166" fontId="0" fillId="17" borderId="23" xfId="1" applyNumberFormat="1" applyFont="1" applyFill="1" applyBorder="1" applyAlignment="1">
      <alignment horizontal="center" vertical="center"/>
    </xf>
    <xf numFmtId="0" fontId="41" fillId="0" borderId="0" xfId="0" applyFont="1"/>
    <xf numFmtId="14" fontId="0" fillId="17" borderId="17" xfId="0" applyNumberFormat="1" applyFill="1" applyBorder="1" applyAlignment="1">
      <alignment horizontal="center" vertical="center"/>
    </xf>
    <xf numFmtId="166" fontId="0" fillId="15" borderId="24" xfId="1" applyNumberFormat="1" applyFont="1" applyFill="1" applyBorder="1" applyAlignment="1">
      <alignment horizontal="center" vertical="center"/>
    </xf>
    <xf numFmtId="165" fontId="0" fillId="15" borderId="24" xfId="1" applyNumberFormat="1" applyFont="1" applyFill="1" applyBorder="1" applyAlignment="1">
      <alignment horizontal="center" vertical="center"/>
    </xf>
    <xf numFmtId="166" fontId="0" fillId="9" borderId="24" xfId="1" applyNumberFormat="1" applyFont="1" applyFill="1" applyBorder="1" applyAlignment="1">
      <alignment horizontal="center" vertical="center"/>
    </xf>
    <xf numFmtId="0" fontId="0" fillId="0" borderId="24" xfId="0" applyBorder="1"/>
    <xf numFmtId="166" fontId="12" fillId="0" borderId="9" xfId="0" applyNumberFormat="1" applyFont="1" applyBorder="1"/>
    <xf numFmtId="166" fontId="23" fillId="0" borderId="0" xfId="0" applyNumberFormat="1" applyFont="1"/>
    <xf numFmtId="0" fontId="8" fillId="4" borderId="0" xfId="0" applyFont="1" applyFill="1" applyAlignment="1">
      <alignment horizontal="center"/>
    </xf>
  </cellXfs>
  <cellStyles count="6">
    <cellStyle name="Comma 2" xfId="5" xr:uid="{3D73C4D4-64BD-4632-8BC7-87E99F308ABA}"/>
    <cellStyle name="Currency" xfId="1" builtinId="4"/>
    <cellStyle name="Currency 2" xfId="3" xr:uid="{8EE87C57-BFB6-490B-8A26-3BD8E7326170}"/>
    <cellStyle name="Hyperlink" xfId="4" builtinId="8"/>
    <cellStyle name="Normal" xfId="0" builtinId="0"/>
    <cellStyle name="Percent" xfId="2" builtinId="5"/>
  </cellStyles>
  <dxfs count="84"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numFmt numFmtId="165" formatCode="_-[$OMR]\ * #,##0.00_-;\-[$OMR]\ * #,##0.00_-;_-[$OMR]\ * &quot;-&quot;??_-;_-@_-"/>
    </dxf>
    <dxf>
      <numFmt numFmtId="13" formatCode="0%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numFmt numFmtId="13" formatCode="0%"/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OMR]\ * #,##0.00_-;\-[$OMR]\ * #,##0.00_-;_-[$OMR]\ * &quot;-&quot;??_-;_-@_-"/>
      <fill>
        <patternFill patternType="none">
          <fgColor indexed="64"/>
          <bgColor indexed="65"/>
        </patternFill>
      </fill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OMR]\ * #,##0.00_-;\-[$OMR]\ * #,##0.00_-;_-[$OMR]\ * &quot;-&quot;??_-;_-@_-"/>
      <fill>
        <patternFill patternType="none">
          <fgColor indexed="64"/>
          <bgColor indexed="65"/>
        </patternFill>
      </fill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numFmt numFmtId="165" formatCode="_-[$OMR]\ * #,##0.00_-;\-[$OMR]\ * #,##0.00_-;_-[$OMR]\ * &quot;-&quot;??_-;_-@_-"/>
    </dxf>
    <dxf>
      <numFmt numFmtId="13" formatCode="0%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numFmt numFmtId="13" formatCode="0%"/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OMR]\ * #,##0.00_-;\-[$OMR]\ * #,##0.00_-;_-[$OMR]\ * &quot;-&quot;??_-;_-@_-"/>
      <fill>
        <patternFill patternType="none">
          <fgColor indexed="64"/>
          <bgColor indexed="65"/>
        </patternFill>
      </fill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OMR]\ * #,##0.00_-;\-[$OMR]\ * #,##0.00_-;_-[$OMR]\ * &quot;-&quot;??_-;_-@_-"/>
      <fill>
        <patternFill patternType="none">
          <fgColor indexed="64"/>
          <bgColor indexed="65"/>
        </patternFill>
      </fill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numFmt numFmtId="165" formatCode="_-[$OMR]\ * #,##0.00_-;\-[$OMR]\ * #,##0.00_-;_-[$OMR]\ * &quot;-&quot;??_-;_-@_-"/>
    </dxf>
    <dxf>
      <numFmt numFmtId="13" formatCode="0%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numFmt numFmtId="13" formatCode="0%"/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OMR]\ * #,##0.00_-;\-[$OMR]\ * #,##0.00_-;_-[$OMR]\ * &quot;-&quot;??_-;_-@_-"/>
      <fill>
        <patternFill patternType="none">
          <fgColor indexed="64"/>
          <bgColor indexed="65"/>
        </patternFill>
      </fill>
    </dxf>
    <dxf>
      <numFmt numFmtId="165" formatCode="_-[$OMR]\ * #,##0.00_-;\-[$OMR]\ * #,##0.00_-;_-[$OMR]\ * &quot;-&quot;??_-;_-@_-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06/relationships/rdSupportingPropertyBagStructure" Target="richData/rdsupportingpropertybag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ichStyles" Target="richData/richStyles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53</xdr:row>
      <xdr:rowOff>114300</xdr:rowOff>
    </xdr:from>
    <xdr:to>
      <xdr:col>6</xdr:col>
      <xdr:colOff>1413510</xdr:colOff>
      <xdr:row>90</xdr:row>
      <xdr:rowOff>139065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A177B2D-9826-2C85-F788-976031857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10210800"/>
          <a:ext cx="10639425" cy="67913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ba Kayyali" refreshedDate="45676.542483449077" createdVersion="8" refreshedVersion="8" minRefreshableVersion="3" recordCount="21" xr:uid="{CBB81497-6247-4940-8951-6B198F29DBE2}">
  <cacheSource type="worksheet">
    <worksheetSource name="Table32"/>
  </cacheSource>
  <cacheFields count="15">
    <cacheField name="Month" numFmtId="0">
      <sharedItems containsBlank="1"/>
    </cacheField>
    <cacheField name="Sales person" numFmtId="0">
      <sharedItems containsBlank="1"/>
    </cacheField>
    <cacheField name="Order Date" numFmtId="14">
      <sharedItems containsDate="1" containsBlank="1" containsMixedTypes="1" minDate="2025-01-01T00:00:00" maxDate="2025-01-19T00:00:00"/>
    </cacheField>
    <cacheField name="Week" numFmtId="0">
      <sharedItems count="4">
        <s v="W1"/>
        <s v="W2"/>
        <s v="W3"/>
        <e v="#N/A"/>
      </sharedItems>
    </cacheField>
    <cacheField name="Company Name" numFmtId="0">
      <sharedItems containsBlank="1"/>
    </cacheField>
    <cacheField name="Selling price" numFmtId="0">
      <sharedItems containsString="0" containsBlank="1" containsNumber="1" minValue="15" maxValue="4331.25"/>
    </cacheField>
    <cacheField name="Type" numFmtId="0">
      <sharedItems containsBlank="1" count="5">
        <s v="Gifting"/>
        <s v="Event "/>
        <s v="3PL"/>
        <m/>
        <s v="Event" u="1"/>
      </sharedItems>
    </cacheField>
    <cacheField name="Type Of Gift " numFmtId="165">
      <sharedItems containsBlank="1"/>
    </cacheField>
    <cacheField name="Business Type" numFmtId="0">
      <sharedItems containsBlank="1"/>
    </cacheField>
    <cacheField name="Cost price" numFmtId="165">
      <sharedItems containsString="0" containsBlank="1" containsNumber="1" minValue="70" maxValue="2250"/>
    </cacheField>
    <cacheField name="Margin " numFmtId="0">
      <sharedItems containsBlank="1" containsMixedTypes="1" containsNumber="1" minValue="0.22222222222222221" maxValue="1"/>
    </cacheField>
    <cacheField name="Profit " numFmtId="165">
      <sharedItems containsMixedTypes="1" containsNumber="1" minValue="0" maxValue="425.25"/>
    </cacheField>
    <cacheField name="Payment status" numFmtId="0">
      <sharedItems containsBlank="1"/>
    </cacheField>
    <cacheField name="Order No " numFmtId="0">
      <sharedItems containsBlank="1" containsMixedTypes="1" containsNumber="1" containsInteger="1" minValue="12534011" maxValue="12751373"/>
    </cacheField>
    <cacheField name="Note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Dec"/>
    <s v="Tamer"/>
    <s v="31/12/2024"/>
    <x v="0"/>
    <s v="Hatim Al Tai ( Al Roya )"/>
    <n v="37.625"/>
    <x v="0"/>
    <s v="Flowers "/>
    <s v="Birthday "/>
    <m/>
    <n v="0.57716701902748413"/>
    <n v="2.7300000000000004"/>
    <s v="paid (tamer Account )"/>
    <n v="12534011"/>
    <m/>
  </r>
  <r>
    <s v="Jan "/>
    <s v="Tamer"/>
    <d v="2025-01-01T00:00:00"/>
    <x v="0"/>
    <s v="ABQ Education Group 1 "/>
    <n v="3113.25"/>
    <x v="0"/>
    <s v="Flowers  &amp; Chocolate "/>
    <s v="Corporate "/>
    <n v="1700"/>
    <n v="0.45394684011884684"/>
    <n v="15.75"/>
    <s v="50% Paid "/>
    <m/>
    <s v="ABQ Chocolate  Order "/>
  </r>
  <r>
    <s v="Jan "/>
    <s v="Tamer"/>
    <d v="2025-01-01T00:00:00"/>
    <x v="0"/>
    <s v="ABQ Education Group 2 "/>
    <n v="4331.25"/>
    <x v="0"/>
    <s v="Chocolate "/>
    <s v="Corporate "/>
    <n v="2250"/>
    <n v="0.48051948051948051"/>
    <n v="4.7300000000000004"/>
    <m/>
    <n v="12564735"/>
    <s v="ABQ Order multiple recipients"/>
  </r>
  <r>
    <s v="Jan "/>
    <s v="Tamer"/>
    <d v="2025-01-02T00:00:00"/>
    <x v="0"/>
    <s v="Omna Football Assosation "/>
    <n v="157"/>
    <x v="0"/>
    <s v="Flowers  &amp; Chocolate "/>
    <s v="Corporate "/>
    <n v="120"/>
    <n v="0.2356687898089172"/>
    <n v="4.7300000000000004"/>
    <m/>
    <m/>
    <s v="Kwaite Order "/>
  </r>
  <r>
    <s v="Jan "/>
    <s v="Tamer"/>
    <d v="2025-01-05T00:00:00"/>
    <x v="1"/>
    <s v="Marca "/>
    <n v="440"/>
    <x v="1"/>
    <s v="Chocolate "/>
    <s v="Corporate "/>
    <n v="318.60000000000002"/>
    <n v="0.27590909090909088"/>
    <n v="4.7300000000000004"/>
    <m/>
    <n v="12635378"/>
    <s v="Marca Order multiple recipients"/>
  </r>
  <r>
    <s v="Jan "/>
    <s v="Tamer"/>
    <d v="2025-01-05T00:00:00"/>
    <x v="1"/>
    <s v="Kenshō Mindful Communications"/>
    <n v="90"/>
    <x v="0"/>
    <s v="Flowers  &amp; Chocolate "/>
    <s v="Corporate "/>
    <n v="70"/>
    <n v="0.22222222222222221"/>
    <n v="365.4"/>
    <s v="Paid "/>
    <m/>
    <s v="KSA Order "/>
  </r>
  <r>
    <s v="Jan "/>
    <s v="Tamer"/>
    <d v="2025-01-05T00:00:00"/>
    <x v="1"/>
    <s v="Oman Data Park "/>
    <n v="57.75"/>
    <x v="0"/>
    <s v="Flowers  "/>
    <s v="Corporate "/>
    <m/>
    <n v="1"/>
    <n v="93.15"/>
    <m/>
    <n v="12646365"/>
    <m/>
  </r>
  <r>
    <s v="Jan "/>
    <s v="Tamer"/>
    <d v="2025-01-06T00:00:00"/>
    <x v="1"/>
    <s v="Ominvest "/>
    <n v="29.7"/>
    <x v="0"/>
    <s v="Flowers  &amp; Chocolate "/>
    <s v="Corporate "/>
    <m/>
    <n v="1"/>
    <n v="425.25"/>
    <s v="Paid "/>
    <n v="12645154"/>
    <m/>
  </r>
  <r>
    <s v="Jan "/>
    <s v="Tamer"/>
    <d v="2025-01-06T00:00:00"/>
    <x v="1"/>
    <s v="FAB Bank "/>
    <n v="24"/>
    <x v="0"/>
    <s v="Flowers  "/>
    <s v="Corporate "/>
    <m/>
    <n v="1"/>
    <n v="14"/>
    <m/>
    <n v="12638124"/>
    <m/>
  </r>
  <r>
    <s v="Jan "/>
    <s v="Tamer"/>
    <d v="2025-01-06T00:00:00"/>
    <x v="1"/>
    <s v="Tm Done "/>
    <n v="68.260000000000005"/>
    <x v="2"/>
    <s v="Flowers  "/>
    <m/>
    <m/>
    <m/>
    <n v="55.125"/>
    <m/>
    <s v="12655652 "/>
    <m/>
  </r>
  <r>
    <s v="Jan "/>
    <s v="Tamer"/>
    <d v="2025-01-07T00:00:00"/>
    <x v="1"/>
    <s v="walk in "/>
    <n v="15"/>
    <x v="0"/>
    <s v="Flowers  "/>
    <s v="walk in "/>
    <m/>
    <m/>
    <n v="46.75"/>
    <s v="Paid "/>
    <n v="12667261"/>
    <s v="To Fatma POS "/>
  </r>
  <r>
    <s v="Jan "/>
    <s v="Tamer"/>
    <d v="2025-01-08T00:00:00"/>
    <x v="1"/>
    <s v="Tm Done "/>
    <n v="34.984999999999999"/>
    <x v="2"/>
    <s v="Flowers  "/>
    <s v="Corporate "/>
    <m/>
    <n v="1"/>
    <n v="416.5"/>
    <m/>
    <n v="12676931"/>
    <m/>
  </r>
  <r>
    <s v="Jan "/>
    <s v="Tamer"/>
    <d v="2025-01-09T00:00:00"/>
    <x v="1"/>
    <s v="Ominvest "/>
    <n v="30"/>
    <x v="0"/>
    <s v="Flowers  &amp; Chocolate "/>
    <m/>
    <m/>
    <n v="1"/>
    <n v="39.85"/>
    <s v="Paid "/>
    <n v="12709104"/>
    <m/>
  </r>
  <r>
    <s v="Jan "/>
    <s v="Tamer"/>
    <d v="2025-01-14T00:00:00"/>
    <x v="2"/>
    <s v="walk in "/>
    <n v="15"/>
    <x v="0"/>
    <s v="Flowers  "/>
    <s v="walk in "/>
    <m/>
    <n v="1"/>
    <n v="0"/>
    <s v="Paid "/>
    <n v="12718837"/>
    <s v="To Fatma POS "/>
  </r>
  <r>
    <s v="Jan "/>
    <s v="Tamer"/>
    <d v="2025-01-14T00:00:00"/>
    <x v="2"/>
    <s v="Mohamed Al Yahmadi OFA "/>
    <n v="50.625"/>
    <x v="0"/>
    <s v="Flowers  &amp; Chocolate "/>
    <s v="Corporate "/>
    <m/>
    <n v="1"/>
    <e v="#VALUE!"/>
    <m/>
    <n v="12717115"/>
    <m/>
  </r>
  <r>
    <s v="Jan "/>
    <s v="Tamer"/>
    <d v="2025-01-15T00:00:00"/>
    <x v="2"/>
    <s v="Ominvest "/>
    <n v="204.4"/>
    <x v="1"/>
    <s v="Chocolate "/>
    <s v="Corporate "/>
    <m/>
    <m/>
    <e v="#VALUE!"/>
    <s v="Paid "/>
    <s v="12735862 "/>
    <m/>
  </r>
  <r>
    <s v="Jan "/>
    <s v="Tamer"/>
    <d v="2025-01-15T00:00:00"/>
    <x v="2"/>
    <s v="walk in "/>
    <n v="15"/>
    <x v="0"/>
    <s v="Flowers  "/>
    <s v="walk in "/>
    <m/>
    <n v="1"/>
    <e v="#VALUE!"/>
    <s v="Paid  (Tamer Account )"/>
    <n v="12724178"/>
    <s v="Wadad Brother"/>
  </r>
  <r>
    <s v="Jan "/>
    <s v="Tamer"/>
    <d v="2025-01-16T00:00:00"/>
    <x v="2"/>
    <s v="Styles Event "/>
    <n v="76.125"/>
    <x v="1"/>
    <s v="Flowers  "/>
    <s v="Event "/>
    <m/>
    <n v="1"/>
    <e v="#VALUE!"/>
    <m/>
    <n v="12717270"/>
    <m/>
  </r>
  <r>
    <s v="Jan "/>
    <s v="Tamer"/>
    <d v="2025-01-17T00:00:00"/>
    <x v="2"/>
    <s v="Ooredoo"/>
    <n v="46.725000000000001"/>
    <x v="0"/>
    <s v="Flowers  "/>
    <s v="Corporate "/>
    <m/>
    <n v="1"/>
    <e v="#VALUE!"/>
    <m/>
    <n v="12743396"/>
    <m/>
  </r>
  <r>
    <s v="Jan "/>
    <s v="Tamer"/>
    <d v="2025-01-18T00:00:00"/>
    <x v="2"/>
    <s v="OHRC"/>
    <n v="55.65"/>
    <x v="1"/>
    <s v="Flowers  "/>
    <s v="Gov"/>
    <m/>
    <n v="1"/>
    <e v="#VALUE!"/>
    <m/>
    <n v="12751373"/>
    <m/>
  </r>
  <r>
    <m/>
    <m/>
    <m/>
    <x v="3"/>
    <m/>
    <m/>
    <x v="3"/>
    <m/>
    <m/>
    <m/>
    <e v="#DIV/0!"/>
    <e v="#VALUE!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312DD-7B33-447D-81A6-EDD1C7543F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15"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dataField="1" showAll="0"/>
    <pivotField axis="axisRow" showAll="0">
      <items count="6">
        <item x="2"/>
        <item m="1" x="4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Selling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en-US</v>
    <v>avs6mw</v>
    <v>268435456</v>
    <v>1</v>
    <v>Powered by Refinitiv</v>
    <v>0</v>
    <v>SAR/USD</v>
    <v>2</v>
    <v>3</v>
    <v>Finance</v>
    <v>4</v>
    <v>0.26690000000000003</v>
    <v>0.26600000000000001</v>
    <v>4.1999999999999998E-5</v>
    <v>1.5750000000000001E-4</v>
    <v>USD</v>
    <v>SAR</v>
    <v>0.2666</v>
    <v>Currency Pair</v>
    <v>46064.591874999998</v>
    <v>0.2666</v>
    <v>Saudi Arabian Riyal/US Dollar FX Cross Rate</v>
    <v>0.2666</v>
    <v>0.2666</v>
    <v>0.2666</v>
    <v>SARUSD</v>
    <v>SAR/USD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7" formatCode="dd/mm/yyyy\ hh:mm"/>
    </x:dxf>
    <x:dxf>
      <x:numFmt numFmtId="2" formatCode="0.00"/>
    </x:dxf>
  </dxfs>
  <richProperties>
    <rPr n="NumberFormat" t="s"/>
    <rPr n="IsTitleField" t="b"/>
  </richProperties>
  <richStyles>
    <rSty dxfid="0">
      <rpv i="0">_([$$-en-US]* #,##0.00_);_([$$-en-US]* (#,##0.00);_([$$-en-US]* "-"??_);_(@_)</rpv>
    </rSty>
    <rSty>
      <rpv i="1">1</rpv>
    </rSty>
    <rSty dxfid="1"/>
    <rSty dxfid="2"/>
    <rSty dxfid="3">
      <rpv i="0">0.00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E10544-6411-4882-8CF4-1E9E09E3AE1C}" name="Table3" displayName="Table3" ref="A1:N16" totalsRowCount="1">
  <autoFilter ref="A1:N15" xr:uid="{29E10544-6411-4882-8CF4-1E9E09E3AE1C}"/>
  <sortState xmlns:xlrd2="http://schemas.microsoft.com/office/spreadsheetml/2017/richdata2" ref="A2:N14">
    <sortCondition ref="C1:C14"/>
  </sortState>
  <tableColumns count="14">
    <tableColumn id="1" xr3:uid="{0CF9E401-0385-4993-816C-1D198CB7C525}" name="Month" totalsRowLabel="Total " totalsRowDxfId="83"/>
    <tableColumn id="2" xr3:uid="{94AB2234-35D8-4836-94BA-6F7256C61D63}" name="Sales person" totalsRowDxfId="82"/>
    <tableColumn id="4" xr3:uid="{2423EB3D-69AC-4500-B0B7-47879C3BF3D9}" name="Order Date" dataDxfId="81" totalsRowDxfId="80"/>
    <tableColumn id="14" xr3:uid="{2BC9273B-829C-4C64-8CED-524EC0CE2374}" name="Week" dataDxfId="79" totalsRowDxfId="78"/>
    <tableColumn id="5" xr3:uid="{C9034EC3-FBAE-4F3F-80F9-A5DDE31CBD34}" name="Company Name" dataDxfId="77" totalsRowDxfId="76"/>
    <tableColumn id="6" xr3:uid="{E2E96A03-D85F-4B5D-B4AF-8669C7967668}" name="Selling price" totalsRowFunction="sum" dataDxfId="75" totalsRowDxfId="74"/>
    <tableColumn id="3" xr3:uid="{083C8D81-3C8B-4955-93A9-3D6E8D65D5EF}" name="Type Of Gift " dataDxfId="73" totalsRowDxfId="72" dataCellStyle="Currency"/>
    <tableColumn id="7" xr3:uid="{91F38B3F-3B24-4EE0-ADC5-A73E2E8634BB}" name="Business Type" dataDxfId="71" totalsRowDxfId="70"/>
    <tableColumn id="8" xr3:uid="{59F85A68-FB6A-4ADA-8953-32539798B0E3}" name="Cost price" dataDxfId="69" totalsRowDxfId="68"/>
    <tableColumn id="9" xr3:uid="{82E01BB7-48D8-4B33-8B86-DF8D06BCC028}" name="Margin " totalsRowFunction="average" dataDxfId="67" totalsRowDxfId="66">
      <calculatedColumnFormula>(Table3[[#This Row],[Selling price]]-Table3[[#This Row],[Cost price]])/Table3[[#This Row],[Selling price]]</calculatedColumnFormula>
    </tableColumn>
    <tableColumn id="10" xr3:uid="{5AB95C78-E3B8-4E23-BC06-016216D1B65B}" name="Profit " totalsRowFunction="sum" dataDxfId="65" totalsRowDxfId="64">
      <calculatedColumnFormula>Table3[[#This Row],[Selling price]]-Table3[[#This Row],[Cost price]]</calculatedColumnFormula>
    </tableColumn>
    <tableColumn id="11" xr3:uid="{5171259F-3F5C-44B0-8771-82BD9EE5A615}" name="Payment status" dataDxfId="63" totalsRowDxfId="62"/>
    <tableColumn id="12" xr3:uid="{2567EBFE-1F26-4BE0-811F-0F6566444F60}" name="Order No " dataDxfId="61" totalsRowDxfId="60"/>
    <tableColumn id="13" xr3:uid="{BB3A3173-43B2-4F81-879C-6BA2C8A7644D}" name="Note " dataDxfId="59" totalsRow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82D1A0-882C-46AB-BE97-8A12384601DD}" name="Table323" displayName="Table323" ref="A1:P42" totalsRowCount="1">
  <autoFilter ref="A1:P41" xr:uid="{6D82D1A0-882C-46AB-BE97-8A12384601DD}"/>
  <sortState xmlns:xlrd2="http://schemas.microsoft.com/office/spreadsheetml/2017/richdata2" ref="A2:P41">
    <sortCondition ref="C1:C41"/>
  </sortState>
  <tableColumns count="16">
    <tableColumn id="1" xr3:uid="{9E828A12-BB76-4F92-92CB-72EDC88D8A62}" name="Month" totalsRowLabel="Total" totalsRowDxfId="57"/>
    <tableColumn id="2" xr3:uid="{871E4AB3-75AB-43AA-945B-2649EBC3E2CA}" name="Sales person" totalsRowDxfId="56"/>
    <tableColumn id="4" xr3:uid="{70B9FEF4-0081-4832-94E6-0FDF994E9253}" name="Order Date" dataDxfId="55" totalsRowDxfId="54"/>
    <tableColumn id="14" xr3:uid="{265FE822-1724-49EA-9C25-E90B3BE77A0F}" name="Week" dataDxfId="53" totalsRowDxfId="52">
      <calculatedColumnFormula>VLOOKUP(Table323[[#This Row],[Order Date]],'Calendars '!A1:C368,2,)</calculatedColumnFormula>
    </tableColumn>
    <tableColumn id="5" xr3:uid="{F4AACD71-E8F3-4736-BDA0-949BE02A5829}" name="Company Name" dataDxfId="51" totalsRowDxfId="50"/>
    <tableColumn id="6" xr3:uid="{19DB1236-1812-479A-9608-CFAEC0FF2F82}" name="Selling price" totalsRowFunction="sum" dataDxfId="49" totalsRowDxfId="48"/>
    <tableColumn id="15" xr3:uid="{8050426D-2036-48BE-AED6-BBE23B2C72E2}" name="Type" dataDxfId="47" totalsRowDxfId="46" dataCellStyle="Currency"/>
    <tableColumn id="3" xr3:uid="{A3563C9B-BC5B-426B-91CB-C2FAA5DABEAB}" name="Type Of Gift " dataDxfId="45" totalsRowDxfId="44" dataCellStyle="Currency"/>
    <tableColumn id="7" xr3:uid="{F729EFEF-E9D8-4753-B062-1BC5D932DABD}" name="Business Type" dataDxfId="43" totalsRowDxfId="42"/>
    <tableColumn id="8" xr3:uid="{39C6D4D3-0EC3-4AC9-8323-77328A2FDE1A}" name="Cost price" totalsRowFunction="sum" dataDxfId="41" totalsRowDxfId="40"/>
    <tableColumn id="9" xr3:uid="{B1F5286E-09CD-44F0-B018-2C0B439574A5}" name="Margin " totalsRowFunction="average" dataDxfId="39" totalsRowDxfId="38">
      <calculatedColumnFormula>(Table323[[#This Row],[Selling price]]-Table323[[#This Row],[Cost price]])/Table323[[#This Row],[Selling price]]</calculatedColumnFormula>
    </tableColumn>
    <tableColumn id="10" xr3:uid="{E3D2E520-8504-4BD5-99F8-B911A6C75BCD}" name="Profit " totalsRowFunction="sum" dataDxfId="37" totalsRowDxfId="36">
      <calculatedColumnFormula>Table3[[#This Row],[Selling price]]-Table3[[#This Row],[Cost price]]</calculatedColumnFormula>
    </tableColumn>
    <tableColumn id="11" xr3:uid="{E4FFEFBF-B4C6-473B-814C-AB21CF6BED4C}" name="Payment status" dataDxfId="35" totalsRowDxfId="34"/>
    <tableColumn id="17" xr3:uid="{5B8FC8D9-B762-4C3C-90FA-59A79D82038D}" name="Delivery Status" totalsRowDxfId="33"/>
    <tableColumn id="12" xr3:uid="{1EC468FE-908B-4B6D-A312-28E03C70691C}" name="Order No " dataDxfId="32" totalsRowDxfId="31"/>
    <tableColumn id="13" xr3:uid="{9AA3CDB4-1D91-4BC7-B37A-F71D77A59A3C}" name="Note " dataDxfId="30" totalsRow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98957-3655-46F7-9296-9062130A503D}" name="Table32" displayName="Table32" ref="A1:P36" totalsRowCount="1">
  <autoFilter ref="A1:P35" xr:uid="{A5C98957-3655-46F7-9296-9062130A503D}"/>
  <sortState xmlns:xlrd2="http://schemas.microsoft.com/office/spreadsheetml/2017/richdata2" ref="A2:P35">
    <sortCondition ref="C1:C35"/>
  </sortState>
  <tableColumns count="16">
    <tableColumn id="1" xr3:uid="{92F69E56-2BA9-4DE7-9DBB-B9822EA20E09}" name="Month" totalsRowLabel="Total" totalsRowDxfId="28"/>
    <tableColumn id="2" xr3:uid="{5E99C738-22C1-4E6D-9703-7EFDA549EBB0}" name="Sales person" totalsRowDxfId="27"/>
    <tableColumn id="4" xr3:uid="{7522020B-D045-42E5-89C2-A25E6BF2E861}" name="Order Date" dataDxfId="26" totalsRowDxfId="25"/>
    <tableColumn id="14" xr3:uid="{8CA5CD79-0725-4202-B0D0-2444275AD7B8}" name="Week" dataDxfId="24" totalsRowDxfId="23">
      <calculatedColumnFormula>VLOOKUP(Table32[[#This Row],[Order Date]],'Calendars '!A2:C369,2,)</calculatedColumnFormula>
    </tableColumn>
    <tableColumn id="5" xr3:uid="{72E64927-FC39-44CD-8D48-6E5FB6529C19}" name="Company Name" dataDxfId="22" totalsRowDxfId="21"/>
    <tableColumn id="6" xr3:uid="{CDDA8BB2-5AD2-4D48-9AA9-7E0CA898B4D9}" name="Selling price" totalsRowFunction="sum" dataDxfId="20" totalsRowDxfId="19"/>
    <tableColumn id="15" xr3:uid="{44141DC9-6AEB-46FC-8AE1-89A22F82271C}" name="Type" dataDxfId="18" totalsRowDxfId="17" dataCellStyle="Currency"/>
    <tableColumn id="3" xr3:uid="{8D412B12-AEF8-4164-A7F8-24020942015F}" name="Type Of Gift " dataDxfId="16" totalsRowDxfId="15" dataCellStyle="Currency"/>
    <tableColumn id="7" xr3:uid="{A70D5D54-ADE7-4BC4-BBBA-183B08F05641}" name="Business Type" dataDxfId="14" totalsRowDxfId="13"/>
    <tableColumn id="8" xr3:uid="{AE7A968F-1976-4D38-BB64-B218B79CE5AB}" name="Cost price" totalsRowFunction="sum" dataDxfId="12" totalsRowDxfId="11"/>
    <tableColumn id="9" xr3:uid="{5606D9F7-E67C-4424-84C2-BAD80F29E631}" name="Margin " totalsRowFunction="average" dataDxfId="10" totalsRowDxfId="9">
      <calculatedColumnFormula>(Table32[[#This Row],[Selling price]]-Table32[[#This Row],[Cost price]])/Table32[[#This Row],[Selling price]]</calculatedColumnFormula>
    </tableColumn>
    <tableColumn id="10" xr3:uid="{330B41BE-0B52-40B1-82E5-AE75BC051A62}" name="Profit " totalsRowFunction="sum" dataDxfId="8" totalsRowDxfId="7">
      <calculatedColumnFormula>Table3[[#This Row],[Selling price]]-Table3[[#This Row],[Cost price]]</calculatedColumnFormula>
    </tableColumn>
    <tableColumn id="11" xr3:uid="{DE1FEF11-D353-47C6-9EC1-3CA1666F1AEC}" name="Payment status" dataDxfId="6" totalsRowDxfId="5"/>
    <tableColumn id="17" xr3:uid="{BAA9ACED-BB42-45D9-A214-5B8A08E2C0B1}" name="Delivery Status" totalsRowDxfId="4"/>
    <tableColumn id="12" xr3:uid="{7B4F1F64-BAFF-4C9C-9321-037DE6D18A85}" name="Order No " dataDxfId="3" totalsRowDxfId="2"/>
    <tableColumn id="13" xr3:uid="{72BBBED0-A792-482D-9B28-4B16ACD1C5B4}" name="Note 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b.floward.io/order/12482912" TargetMode="External"/><Relationship Id="rId13" Type="http://schemas.openxmlformats.org/officeDocument/2006/relationships/hyperlink" Target="https://hub.floward.io/order/12307367" TargetMode="External"/><Relationship Id="rId3" Type="http://schemas.openxmlformats.org/officeDocument/2006/relationships/hyperlink" Target="https://hub.floward.io/order/12307204" TargetMode="External"/><Relationship Id="rId7" Type="http://schemas.openxmlformats.org/officeDocument/2006/relationships/hyperlink" Target="https://hub.floward.io/order/12483225" TargetMode="External"/><Relationship Id="rId12" Type="http://schemas.openxmlformats.org/officeDocument/2006/relationships/hyperlink" Target="https://hub.floward.io/order/12307466" TargetMode="External"/><Relationship Id="rId2" Type="http://schemas.openxmlformats.org/officeDocument/2006/relationships/hyperlink" Target="https://hub.floward.io/order/12307437" TargetMode="External"/><Relationship Id="rId1" Type="http://schemas.openxmlformats.org/officeDocument/2006/relationships/hyperlink" Target="https://hub.floward.io/order/12307504" TargetMode="External"/><Relationship Id="rId6" Type="http://schemas.openxmlformats.org/officeDocument/2006/relationships/hyperlink" Target="https://hub.floward.io/order/12461954" TargetMode="External"/><Relationship Id="rId11" Type="http://schemas.openxmlformats.org/officeDocument/2006/relationships/hyperlink" Target="https://hub.floward.io/order/12468902" TargetMode="External"/><Relationship Id="rId5" Type="http://schemas.openxmlformats.org/officeDocument/2006/relationships/hyperlink" Target="https://hub.floward.io/order/12450632" TargetMode="External"/><Relationship Id="rId10" Type="http://schemas.openxmlformats.org/officeDocument/2006/relationships/hyperlink" Target="https://hub.floward.io/order/12479785" TargetMode="External"/><Relationship Id="rId4" Type="http://schemas.openxmlformats.org/officeDocument/2006/relationships/hyperlink" Target="https://hub.floward.io/order/12454777" TargetMode="External"/><Relationship Id="rId9" Type="http://schemas.openxmlformats.org/officeDocument/2006/relationships/hyperlink" Target="https://hub.floward.io/order/12480675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hub.floward.io/order/13019652" TargetMode="External"/><Relationship Id="rId13" Type="http://schemas.openxmlformats.org/officeDocument/2006/relationships/hyperlink" Target="https://hub.floward.io/order/13189756" TargetMode="External"/><Relationship Id="rId18" Type="http://schemas.openxmlformats.org/officeDocument/2006/relationships/hyperlink" Target="https://hub.floward.io/order/13228207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hub.floward.io/order/12971516" TargetMode="External"/><Relationship Id="rId21" Type="http://schemas.openxmlformats.org/officeDocument/2006/relationships/hyperlink" Target="https://hub.floward.io/order/13250442" TargetMode="External"/><Relationship Id="rId7" Type="http://schemas.openxmlformats.org/officeDocument/2006/relationships/hyperlink" Target="https://hub.floward.io/order/12977256" TargetMode="External"/><Relationship Id="rId12" Type="http://schemas.openxmlformats.org/officeDocument/2006/relationships/hyperlink" Target="https://hub.floward.io/order/13177272" TargetMode="External"/><Relationship Id="rId17" Type="http://schemas.openxmlformats.org/officeDocument/2006/relationships/hyperlink" Target="https://hub.floward.io/order/13220028" TargetMode="External"/><Relationship Id="rId25" Type="http://schemas.openxmlformats.org/officeDocument/2006/relationships/hyperlink" Target="https://hub.floward.io/order/13172126" TargetMode="External"/><Relationship Id="rId2" Type="http://schemas.openxmlformats.org/officeDocument/2006/relationships/hyperlink" Target="https://hub.floward.io/order/12976808" TargetMode="External"/><Relationship Id="rId16" Type="http://schemas.openxmlformats.org/officeDocument/2006/relationships/hyperlink" Target="https://hub.floward.io/order/13233795" TargetMode="External"/><Relationship Id="rId20" Type="http://schemas.openxmlformats.org/officeDocument/2006/relationships/hyperlink" Target="https://hub.floward.io/order/13250879" TargetMode="External"/><Relationship Id="rId1" Type="http://schemas.openxmlformats.org/officeDocument/2006/relationships/hyperlink" Target="https://hub.floward.io/order/12893257" TargetMode="External"/><Relationship Id="rId6" Type="http://schemas.openxmlformats.org/officeDocument/2006/relationships/hyperlink" Target="https://hub.floward.io/order/13003431" TargetMode="External"/><Relationship Id="rId11" Type="http://schemas.openxmlformats.org/officeDocument/2006/relationships/hyperlink" Target="https://hub.floward.io/order/13177286" TargetMode="External"/><Relationship Id="rId24" Type="http://schemas.openxmlformats.org/officeDocument/2006/relationships/hyperlink" Target="https://hub.floward.io/order/13263217" TargetMode="External"/><Relationship Id="rId5" Type="http://schemas.openxmlformats.org/officeDocument/2006/relationships/hyperlink" Target="https://hub.floward.io/order/12988636" TargetMode="External"/><Relationship Id="rId15" Type="http://schemas.openxmlformats.org/officeDocument/2006/relationships/hyperlink" Target="https://hub.floward.io/order/13195972" TargetMode="External"/><Relationship Id="rId23" Type="http://schemas.openxmlformats.org/officeDocument/2006/relationships/hyperlink" Target="https://hub.floward.io/order/13238741" TargetMode="External"/><Relationship Id="rId10" Type="http://schemas.openxmlformats.org/officeDocument/2006/relationships/hyperlink" Target="https://hub.floward.io/order/13171457" TargetMode="External"/><Relationship Id="rId19" Type="http://schemas.openxmlformats.org/officeDocument/2006/relationships/hyperlink" Target="https://hub.floward.io/order/13239553" TargetMode="External"/><Relationship Id="rId4" Type="http://schemas.openxmlformats.org/officeDocument/2006/relationships/hyperlink" Target="https://hub.floward.io/order/12990364" TargetMode="External"/><Relationship Id="rId9" Type="http://schemas.openxmlformats.org/officeDocument/2006/relationships/hyperlink" Target="https://hub.floward.io/order/13039241" TargetMode="External"/><Relationship Id="rId14" Type="http://schemas.openxmlformats.org/officeDocument/2006/relationships/hyperlink" Target="https://hub.floward.io/order/13195385" TargetMode="External"/><Relationship Id="rId22" Type="http://schemas.openxmlformats.org/officeDocument/2006/relationships/hyperlink" Target="https://hub.floward.io/order/13241924" TargetMode="External"/><Relationship Id="rId27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hub.floward.io/order/12718837" TargetMode="External"/><Relationship Id="rId13" Type="http://schemas.openxmlformats.org/officeDocument/2006/relationships/hyperlink" Target="https://hub.floward.io/order/12780525" TargetMode="External"/><Relationship Id="rId18" Type="http://schemas.openxmlformats.org/officeDocument/2006/relationships/hyperlink" Target="https://hub.floward.io/order/12764318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hub.floward.io/order/12638124" TargetMode="External"/><Relationship Id="rId21" Type="http://schemas.openxmlformats.org/officeDocument/2006/relationships/hyperlink" Target="https://hub.floward.io/order/12819357" TargetMode="External"/><Relationship Id="rId7" Type="http://schemas.openxmlformats.org/officeDocument/2006/relationships/hyperlink" Target="https://hub.floward.io/order/12709104" TargetMode="External"/><Relationship Id="rId12" Type="http://schemas.openxmlformats.org/officeDocument/2006/relationships/hyperlink" Target="https://hub.floward.io/order/12751373" TargetMode="External"/><Relationship Id="rId17" Type="http://schemas.openxmlformats.org/officeDocument/2006/relationships/hyperlink" Target="https://hub.floward.io/order/12764966" TargetMode="External"/><Relationship Id="rId25" Type="http://schemas.openxmlformats.org/officeDocument/2006/relationships/hyperlink" Target="https://hub.floward.io/order/12871631" TargetMode="External"/><Relationship Id="rId2" Type="http://schemas.openxmlformats.org/officeDocument/2006/relationships/hyperlink" Target="https://hub.floward.io/order/12645154" TargetMode="External"/><Relationship Id="rId16" Type="http://schemas.openxmlformats.org/officeDocument/2006/relationships/hyperlink" Target="https://hub.floward.io/order/12781313" TargetMode="External"/><Relationship Id="rId20" Type="http://schemas.openxmlformats.org/officeDocument/2006/relationships/hyperlink" Target="https://hub.floward.io/order/12820284" TargetMode="External"/><Relationship Id="rId1" Type="http://schemas.openxmlformats.org/officeDocument/2006/relationships/hyperlink" Target="https://hub.floward.io/order/12646365" TargetMode="External"/><Relationship Id="rId6" Type="http://schemas.openxmlformats.org/officeDocument/2006/relationships/hyperlink" Target="https://hub.floward.io/order/12667261" TargetMode="External"/><Relationship Id="rId11" Type="http://schemas.openxmlformats.org/officeDocument/2006/relationships/hyperlink" Target="https://hub.floward.io/order/12743396" TargetMode="External"/><Relationship Id="rId24" Type="http://schemas.openxmlformats.org/officeDocument/2006/relationships/hyperlink" Target="https://hub.floward.io/order/12840935" TargetMode="External"/><Relationship Id="rId5" Type="http://schemas.openxmlformats.org/officeDocument/2006/relationships/hyperlink" Target="https://hub.floward.io/order/12676931" TargetMode="External"/><Relationship Id="rId15" Type="http://schemas.openxmlformats.org/officeDocument/2006/relationships/hyperlink" Target="https://hub.floward.io/order/12783352" TargetMode="External"/><Relationship Id="rId23" Type="http://schemas.openxmlformats.org/officeDocument/2006/relationships/hyperlink" Target="https://hub.floward.io/order/12850270" TargetMode="External"/><Relationship Id="rId10" Type="http://schemas.openxmlformats.org/officeDocument/2006/relationships/hyperlink" Target="https://hub.floward.io/order/12717115" TargetMode="External"/><Relationship Id="rId19" Type="http://schemas.openxmlformats.org/officeDocument/2006/relationships/hyperlink" Target="https://hub.floward.io/order/12534011" TargetMode="External"/><Relationship Id="rId4" Type="http://schemas.openxmlformats.org/officeDocument/2006/relationships/hyperlink" Target="https://hub.floward.io/order/12635378" TargetMode="External"/><Relationship Id="rId9" Type="http://schemas.openxmlformats.org/officeDocument/2006/relationships/hyperlink" Target="https://hub.floward.io/order/12717270" TargetMode="External"/><Relationship Id="rId14" Type="http://schemas.openxmlformats.org/officeDocument/2006/relationships/hyperlink" Target="https://hub.floward.io/order/12789816" TargetMode="External"/><Relationship Id="rId22" Type="http://schemas.openxmlformats.org/officeDocument/2006/relationships/hyperlink" Target="https://hub.floward.io/order/12850048" TargetMode="External"/><Relationship Id="rId27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hub.floward.io/order/13461743" TargetMode="External"/><Relationship Id="rId18" Type="http://schemas.openxmlformats.org/officeDocument/2006/relationships/hyperlink" Target="https://hub.floward.io/order/13525962" TargetMode="External"/><Relationship Id="rId26" Type="http://schemas.openxmlformats.org/officeDocument/2006/relationships/hyperlink" Target="https://hub.floward.io/order/13604425" TargetMode="External"/><Relationship Id="rId3" Type="http://schemas.openxmlformats.org/officeDocument/2006/relationships/hyperlink" Target="https://hub.floward.io/order/13345844" TargetMode="External"/><Relationship Id="rId21" Type="http://schemas.openxmlformats.org/officeDocument/2006/relationships/hyperlink" Target="https://hub.floward.io/order/13555251" TargetMode="External"/><Relationship Id="rId34" Type="http://schemas.openxmlformats.org/officeDocument/2006/relationships/hyperlink" Target="https://hub.floward.io/order/13798198" TargetMode="External"/><Relationship Id="rId7" Type="http://schemas.openxmlformats.org/officeDocument/2006/relationships/hyperlink" Target="https://hub.floward.io/order/13379981" TargetMode="External"/><Relationship Id="rId12" Type="http://schemas.openxmlformats.org/officeDocument/2006/relationships/hyperlink" Target="https://hub.floward.io/order/13436822" TargetMode="External"/><Relationship Id="rId17" Type="http://schemas.openxmlformats.org/officeDocument/2006/relationships/hyperlink" Target="https://hub.floward.io/order/13544111" TargetMode="External"/><Relationship Id="rId25" Type="http://schemas.openxmlformats.org/officeDocument/2006/relationships/hyperlink" Target="https://hub.floward.io/order/13695328" TargetMode="External"/><Relationship Id="rId33" Type="http://schemas.openxmlformats.org/officeDocument/2006/relationships/hyperlink" Target="https://hub.floward.io/order/13427166" TargetMode="External"/><Relationship Id="rId2" Type="http://schemas.openxmlformats.org/officeDocument/2006/relationships/hyperlink" Target="https://hub.floward.io/order/13336742" TargetMode="External"/><Relationship Id="rId16" Type="http://schemas.openxmlformats.org/officeDocument/2006/relationships/hyperlink" Target="https://hub.floward.io/order/13543901" TargetMode="External"/><Relationship Id="rId20" Type="http://schemas.openxmlformats.org/officeDocument/2006/relationships/hyperlink" Target="https://hub.floward.io/order/13554333" TargetMode="External"/><Relationship Id="rId29" Type="http://schemas.openxmlformats.org/officeDocument/2006/relationships/hyperlink" Target="https://hub.floward.io/order/13630542" TargetMode="External"/><Relationship Id="rId1" Type="http://schemas.openxmlformats.org/officeDocument/2006/relationships/hyperlink" Target="https://hub.floward.io/order/13304134" TargetMode="External"/><Relationship Id="rId6" Type="http://schemas.openxmlformats.org/officeDocument/2006/relationships/hyperlink" Target="https://hub.floward.io/order/13388875" TargetMode="External"/><Relationship Id="rId11" Type="http://schemas.openxmlformats.org/officeDocument/2006/relationships/hyperlink" Target="https://hub.floward.io/order/13436823" TargetMode="External"/><Relationship Id="rId24" Type="http://schemas.openxmlformats.org/officeDocument/2006/relationships/hyperlink" Target="https://hub.floward.io/order/13465045" TargetMode="External"/><Relationship Id="rId32" Type="http://schemas.openxmlformats.org/officeDocument/2006/relationships/hyperlink" Target="https://hub.floward.io/order/13632529" TargetMode="External"/><Relationship Id="rId5" Type="http://schemas.openxmlformats.org/officeDocument/2006/relationships/hyperlink" Target="https://hub.floward.io/order/13363157" TargetMode="External"/><Relationship Id="rId15" Type="http://schemas.openxmlformats.org/officeDocument/2006/relationships/hyperlink" Target="https://hub.floward.io/order/13490352" TargetMode="External"/><Relationship Id="rId23" Type="http://schemas.openxmlformats.org/officeDocument/2006/relationships/hyperlink" Target="https://hub.floward.io/order/13566773" TargetMode="External"/><Relationship Id="rId28" Type="http://schemas.openxmlformats.org/officeDocument/2006/relationships/hyperlink" Target="https://hub.floward.io/order/13601975" TargetMode="External"/><Relationship Id="rId10" Type="http://schemas.openxmlformats.org/officeDocument/2006/relationships/hyperlink" Target="https://hub.floward.io/order/13438073" TargetMode="External"/><Relationship Id="rId19" Type="http://schemas.openxmlformats.org/officeDocument/2006/relationships/hyperlink" Target="https://hub.floward.io/order/13556495" TargetMode="External"/><Relationship Id="rId31" Type="http://schemas.openxmlformats.org/officeDocument/2006/relationships/hyperlink" Target="https://hub.floward.io/order/13586104" TargetMode="External"/><Relationship Id="rId4" Type="http://schemas.openxmlformats.org/officeDocument/2006/relationships/hyperlink" Target="https://hub.floward.io/order/13356157" TargetMode="External"/><Relationship Id="rId9" Type="http://schemas.openxmlformats.org/officeDocument/2006/relationships/hyperlink" Target="https://hub.floward.io/order/13451068" TargetMode="External"/><Relationship Id="rId14" Type="http://schemas.openxmlformats.org/officeDocument/2006/relationships/hyperlink" Target="https://hub.floward.io/order/13495398" TargetMode="External"/><Relationship Id="rId22" Type="http://schemas.openxmlformats.org/officeDocument/2006/relationships/hyperlink" Target="https://hub.floward.io/order/13556058" TargetMode="External"/><Relationship Id="rId27" Type="http://schemas.openxmlformats.org/officeDocument/2006/relationships/hyperlink" Target="https://hub.floward.io/order/13602182" TargetMode="External"/><Relationship Id="rId30" Type="http://schemas.openxmlformats.org/officeDocument/2006/relationships/hyperlink" Target="https://hub.floward.io/order/13504696" TargetMode="External"/><Relationship Id="rId8" Type="http://schemas.openxmlformats.org/officeDocument/2006/relationships/hyperlink" Target="https://hub.floward.io/order/13419405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hub.floward.io/order/13776579" TargetMode="External"/><Relationship Id="rId18" Type="http://schemas.openxmlformats.org/officeDocument/2006/relationships/hyperlink" Target="https://hub.floward.io/order/13860633" TargetMode="External"/><Relationship Id="rId26" Type="http://schemas.openxmlformats.org/officeDocument/2006/relationships/hyperlink" Target="https://hub.floward.io/order/13926225" TargetMode="External"/><Relationship Id="rId3" Type="http://schemas.openxmlformats.org/officeDocument/2006/relationships/hyperlink" Target="https://hub.floward.io/order/13703473" TargetMode="External"/><Relationship Id="rId21" Type="http://schemas.openxmlformats.org/officeDocument/2006/relationships/hyperlink" Target="https://hub.floward.io/order/13855310" TargetMode="External"/><Relationship Id="rId34" Type="http://schemas.openxmlformats.org/officeDocument/2006/relationships/hyperlink" Target="https://hub.floward.io/order/13941303" TargetMode="External"/><Relationship Id="rId7" Type="http://schemas.openxmlformats.org/officeDocument/2006/relationships/hyperlink" Target="https://hub.floward.io/order/13778963" TargetMode="External"/><Relationship Id="rId12" Type="http://schemas.openxmlformats.org/officeDocument/2006/relationships/hyperlink" Target="https://hub.floward.io/order/13846263" TargetMode="External"/><Relationship Id="rId17" Type="http://schemas.openxmlformats.org/officeDocument/2006/relationships/hyperlink" Target="https://hub.floward.io/order/13860538" TargetMode="External"/><Relationship Id="rId25" Type="http://schemas.openxmlformats.org/officeDocument/2006/relationships/hyperlink" Target="https://hub.floward.io/order/13929299" TargetMode="External"/><Relationship Id="rId33" Type="http://schemas.openxmlformats.org/officeDocument/2006/relationships/hyperlink" Target="https://hub.floward.io/order/13901188" TargetMode="External"/><Relationship Id="rId2" Type="http://schemas.openxmlformats.org/officeDocument/2006/relationships/hyperlink" Target="https://hub.floward.io/order/13635164" TargetMode="External"/><Relationship Id="rId16" Type="http://schemas.openxmlformats.org/officeDocument/2006/relationships/hyperlink" Target="https://hub.floward.io/order/13710331" TargetMode="External"/><Relationship Id="rId20" Type="http://schemas.openxmlformats.org/officeDocument/2006/relationships/hyperlink" Target="https://hub.floward.io/order/13855362" TargetMode="External"/><Relationship Id="rId29" Type="http://schemas.openxmlformats.org/officeDocument/2006/relationships/hyperlink" Target="https://hub.floward.io/order/13936257" TargetMode="External"/><Relationship Id="rId1" Type="http://schemas.openxmlformats.org/officeDocument/2006/relationships/hyperlink" Target="https://hub.floward.io/order/13696374" TargetMode="External"/><Relationship Id="rId6" Type="http://schemas.openxmlformats.org/officeDocument/2006/relationships/hyperlink" Target="https://hub.floward.io/order/13768036" TargetMode="External"/><Relationship Id="rId11" Type="http://schemas.openxmlformats.org/officeDocument/2006/relationships/hyperlink" Target="https://hub.floward.io/order/13803555" TargetMode="External"/><Relationship Id="rId24" Type="http://schemas.openxmlformats.org/officeDocument/2006/relationships/hyperlink" Target="https://hub.floward.io/order/13903046" TargetMode="External"/><Relationship Id="rId32" Type="http://schemas.openxmlformats.org/officeDocument/2006/relationships/hyperlink" Target="https://hub.floward.io/order/13927837" TargetMode="External"/><Relationship Id="rId5" Type="http://schemas.openxmlformats.org/officeDocument/2006/relationships/hyperlink" Target="https://hub.floward.io/order/13768526" TargetMode="External"/><Relationship Id="rId15" Type="http://schemas.openxmlformats.org/officeDocument/2006/relationships/hyperlink" Target="https://hub.floward.io/order/13788198" TargetMode="External"/><Relationship Id="rId23" Type="http://schemas.openxmlformats.org/officeDocument/2006/relationships/hyperlink" Target="https://hub.floward.io/order/13902365" TargetMode="External"/><Relationship Id="rId28" Type="http://schemas.openxmlformats.org/officeDocument/2006/relationships/hyperlink" Target="https://hub.floward.io/order/13918835" TargetMode="External"/><Relationship Id="rId10" Type="http://schemas.openxmlformats.org/officeDocument/2006/relationships/hyperlink" Target="https://hub.floward.io/order/13804972" TargetMode="External"/><Relationship Id="rId19" Type="http://schemas.openxmlformats.org/officeDocument/2006/relationships/hyperlink" Target="https://hub.floward.io/order/13856042" TargetMode="External"/><Relationship Id="rId31" Type="http://schemas.openxmlformats.org/officeDocument/2006/relationships/hyperlink" Target="https://hub.floward.io/order/13901159" TargetMode="External"/><Relationship Id="rId4" Type="http://schemas.openxmlformats.org/officeDocument/2006/relationships/hyperlink" Target="https://hub.floward.io/order/13702956" TargetMode="External"/><Relationship Id="rId9" Type="http://schemas.openxmlformats.org/officeDocument/2006/relationships/hyperlink" Target="https://hub.floward.io/order/13807654" TargetMode="External"/><Relationship Id="rId14" Type="http://schemas.openxmlformats.org/officeDocument/2006/relationships/hyperlink" Target="https://hub.floward.io/order/13804618" TargetMode="External"/><Relationship Id="rId22" Type="http://schemas.openxmlformats.org/officeDocument/2006/relationships/hyperlink" Target="https://hub.floward.io/order/13856599" TargetMode="External"/><Relationship Id="rId27" Type="http://schemas.openxmlformats.org/officeDocument/2006/relationships/hyperlink" Target="https://hub.floward.io/order/13911313" TargetMode="External"/><Relationship Id="rId30" Type="http://schemas.openxmlformats.org/officeDocument/2006/relationships/hyperlink" Target="https://hub.floward.io/order/13912995" TargetMode="External"/><Relationship Id="rId35" Type="http://schemas.openxmlformats.org/officeDocument/2006/relationships/printerSettings" Target="../printerSettings/printerSettings3.bin"/><Relationship Id="rId8" Type="http://schemas.openxmlformats.org/officeDocument/2006/relationships/hyperlink" Target="https://hub.floward.io/order/13794585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hub.floward.io/order/14144444" TargetMode="External"/><Relationship Id="rId18" Type="http://schemas.openxmlformats.org/officeDocument/2006/relationships/hyperlink" Target="https://hub.floward.io/order/14167120" TargetMode="External"/><Relationship Id="rId26" Type="http://schemas.openxmlformats.org/officeDocument/2006/relationships/hyperlink" Target="https://hub.floward.io/order/14235785" TargetMode="External"/><Relationship Id="rId3" Type="http://schemas.openxmlformats.org/officeDocument/2006/relationships/hyperlink" Target="https://hub.floward.io/order/13958575" TargetMode="External"/><Relationship Id="rId21" Type="http://schemas.openxmlformats.org/officeDocument/2006/relationships/hyperlink" Target="https://hub.floward.io/order/14219015" TargetMode="External"/><Relationship Id="rId34" Type="http://schemas.openxmlformats.org/officeDocument/2006/relationships/hyperlink" Target="https://hub.floward.io/order/14135521" TargetMode="External"/><Relationship Id="rId7" Type="http://schemas.openxmlformats.org/officeDocument/2006/relationships/hyperlink" Target="https://hub.floward.io/order/13984811" TargetMode="External"/><Relationship Id="rId12" Type="http://schemas.openxmlformats.org/officeDocument/2006/relationships/hyperlink" Target="https://hub.floward.io/order/14096727" TargetMode="External"/><Relationship Id="rId17" Type="http://schemas.openxmlformats.org/officeDocument/2006/relationships/hyperlink" Target="https://hub.floward.io/order/14167191" TargetMode="External"/><Relationship Id="rId25" Type="http://schemas.openxmlformats.org/officeDocument/2006/relationships/hyperlink" Target="https://hub.floward.io/order/14236387" TargetMode="External"/><Relationship Id="rId33" Type="http://schemas.openxmlformats.org/officeDocument/2006/relationships/hyperlink" Target="https://hub.floward.io/order/14218453" TargetMode="External"/><Relationship Id="rId2" Type="http://schemas.openxmlformats.org/officeDocument/2006/relationships/hyperlink" Target="https://hub.floward.io/order/13959023" TargetMode="External"/><Relationship Id="rId16" Type="http://schemas.openxmlformats.org/officeDocument/2006/relationships/hyperlink" Target="https://hub.floward.io/order/14164373" TargetMode="External"/><Relationship Id="rId20" Type="http://schemas.openxmlformats.org/officeDocument/2006/relationships/hyperlink" Target="https://hub.floward.io/order/14207443" TargetMode="External"/><Relationship Id="rId29" Type="http://schemas.openxmlformats.org/officeDocument/2006/relationships/hyperlink" Target="https://hub.floward.io/order/14244813" TargetMode="External"/><Relationship Id="rId1" Type="http://schemas.openxmlformats.org/officeDocument/2006/relationships/hyperlink" Target="https://hub.floward.io/order/13959023" TargetMode="External"/><Relationship Id="rId6" Type="http://schemas.openxmlformats.org/officeDocument/2006/relationships/hyperlink" Target="https://hub.floward.io/order/14006896" TargetMode="External"/><Relationship Id="rId11" Type="http://schemas.openxmlformats.org/officeDocument/2006/relationships/hyperlink" Target="https://hub.floward.io/order/14069737" TargetMode="External"/><Relationship Id="rId24" Type="http://schemas.openxmlformats.org/officeDocument/2006/relationships/hyperlink" Target="https://hub.floward.io/order/14219057" TargetMode="External"/><Relationship Id="rId32" Type="http://schemas.openxmlformats.org/officeDocument/2006/relationships/hyperlink" Target="https://hub.floward.io/order/14263195" TargetMode="External"/><Relationship Id="rId5" Type="http://schemas.openxmlformats.org/officeDocument/2006/relationships/hyperlink" Target="https://hub.floward.io/order/13985705" TargetMode="External"/><Relationship Id="rId15" Type="http://schemas.openxmlformats.org/officeDocument/2006/relationships/hyperlink" Target="https://hub.floward.io/order/14154363" TargetMode="External"/><Relationship Id="rId23" Type="http://schemas.openxmlformats.org/officeDocument/2006/relationships/hyperlink" Target="https://hub.floward.io/order/14220264" TargetMode="External"/><Relationship Id="rId28" Type="http://schemas.openxmlformats.org/officeDocument/2006/relationships/hyperlink" Target="https://hub.floward.io/order/14218232" TargetMode="External"/><Relationship Id="rId10" Type="http://schemas.openxmlformats.org/officeDocument/2006/relationships/hyperlink" Target="https://hub.floward.io/order/14071518" TargetMode="External"/><Relationship Id="rId19" Type="http://schemas.openxmlformats.org/officeDocument/2006/relationships/hyperlink" Target="https://hub.floward.io/order/14207750" TargetMode="External"/><Relationship Id="rId31" Type="http://schemas.openxmlformats.org/officeDocument/2006/relationships/hyperlink" Target="https://hub.floward.io/order/14244618" TargetMode="External"/><Relationship Id="rId4" Type="http://schemas.openxmlformats.org/officeDocument/2006/relationships/hyperlink" Target="https://hub.floward.io/order/13958431" TargetMode="External"/><Relationship Id="rId9" Type="http://schemas.openxmlformats.org/officeDocument/2006/relationships/hyperlink" Target="https://hub.floward.io/order/14060339" TargetMode="External"/><Relationship Id="rId14" Type="http://schemas.openxmlformats.org/officeDocument/2006/relationships/hyperlink" Target="https://hub.floward.io/order/14156599" TargetMode="External"/><Relationship Id="rId22" Type="http://schemas.openxmlformats.org/officeDocument/2006/relationships/hyperlink" Target="https://hub.floward.io/order/14220264" TargetMode="External"/><Relationship Id="rId27" Type="http://schemas.openxmlformats.org/officeDocument/2006/relationships/hyperlink" Target="https://hub.floward.io/order/14222768" TargetMode="External"/><Relationship Id="rId30" Type="http://schemas.openxmlformats.org/officeDocument/2006/relationships/hyperlink" Target="https://hub.floward.io/order/14248099" TargetMode="External"/><Relationship Id="rId8" Type="http://schemas.openxmlformats.org/officeDocument/2006/relationships/hyperlink" Target="https://hub.floward.io/order/14061456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hub.floward.io/order/14432870" TargetMode="External"/><Relationship Id="rId18" Type="http://schemas.openxmlformats.org/officeDocument/2006/relationships/hyperlink" Target="https://hub.floward.io/order/14433781" TargetMode="External"/><Relationship Id="rId26" Type="http://schemas.openxmlformats.org/officeDocument/2006/relationships/hyperlink" Target="https://hub.floward.io/order/14504549" TargetMode="External"/><Relationship Id="rId39" Type="http://schemas.openxmlformats.org/officeDocument/2006/relationships/hyperlink" Target="https://hub.floward.io/order/14444706" TargetMode="External"/><Relationship Id="rId21" Type="http://schemas.openxmlformats.org/officeDocument/2006/relationships/hyperlink" Target="https://hub.floward.io/order/14335796" TargetMode="External"/><Relationship Id="rId34" Type="http://schemas.openxmlformats.org/officeDocument/2006/relationships/hyperlink" Target="https://hub.floward.io/order/14556265" TargetMode="External"/><Relationship Id="rId42" Type="http://schemas.openxmlformats.org/officeDocument/2006/relationships/hyperlink" Target="https://hub.floward.io/order/14661745" TargetMode="External"/><Relationship Id="rId47" Type="http://schemas.openxmlformats.org/officeDocument/2006/relationships/hyperlink" Target="https://hub.floward.io/order/14635820" TargetMode="External"/><Relationship Id="rId7" Type="http://schemas.openxmlformats.org/officeDocument/2006/relationships/hyperlink" Target="https://hub.floward.io/order/14324265" TargetMode="External"/><Relationship Id="rId2" Type="http://schemas.openxmlformats.org/officeDocument/2006/relationships/hyperlink" Target="https://hub.floward.io/order/14313172" TargetMode="External"/><Relationship Id="rId16" Type="http://schemas.openxmlformats.org/officeDocument/2006/relationships/hyperlink" Target="https://hub.floward.io/order/14433881" TargetMode="External"/><Relationship Id="rId29" Type="http://schemas.openxmlformats.org/officeDocument/2006/relationships/hyperlink" Target="https://hub.floward.io/order/14491038" TargetMode="External"/><Relationship Id="rId11" Type="http://schemas.openxmlformats.org/officeDocument/2006/relationships/hyperlink" Target="https://hub.floward.io/order/14418037" TargetMode="External"/><Relationship Id="rId24" Type="http://schemas.openxmlformats.org/officeDocument/2006/relationships/hyperlink" Target="https://hub.floward.io/order/14460830" TargetMode="External"/><Relationship Id="rId32" Type="http://schemas.openxmlformats.org/officeDocument/2006/relationships/hyperlink" Target="https://hub.floward.io/order/14547509" TargetMode="External"/><Relationship Id="rId37" Type="http://schemas.openxmlformats.org/officeDocument/2006/relationships/hyperlink" Target="https://hub.floward.io/order/14593309" TargetMode="External"/><Relationship Id="rId40" Type="http://schemas.openxmlformats.org/officeDocument/2006/relationships/hyperlink" Target="https://hub.floward.io/order/14645183" TargetMode="External"/><Relationship Id="rId45" Type="http://schemas.openxmlformats.org/officeDocument/2006/relationships/hyperlink" Target="https://hub.floward.io/order/14657067" TargetMode="External"/><Relationship Id="rId5" Type="http://schemas.openxmlformats.org/officeDocument/2006/relationships/hyperlink" Target="https://hub.floward.io/order/14298979" TargetMode="External"/><Relationship Id="rId15" Type="http://schemas.openxmlformats.org/officeDocument/2006/relationships/hyperlink" Target="https://hub.floward.io/order/14433126" TargetMode="External"/><Relationship Id="rId23" Type="http://schemas.openxmlformats.org/officeDocument/2006/relationships/hyperlink" Target="https://hub.floward.io/order/14442000" TargetMode="External"/><Relationship Id="rId28" Type="http://schemas.openxmlformats.org/officeDocument/2006/relationships/hyperlink" Target="https://hub.floward.io/order/14491099" TargetMode="External"/><Relationship Id="rId36" Type="http://schemas.openxmlformats.org/officeDocument/2006/relationships/hyperlink" Target="https://hub.floward.io/order/14566572" TargetMode="External"/><Relationship Id="rId49" Type="http://schemas.openxmlformats.org/officeDocument/2006/relationships/hyperlink" Target="https://hub.floward.io/order/14657881" TargetMode="External"/><Relationship Id="rId10" Type="http://schemas.openxmlformats.org/officeDocument/2006/relationships/hyperlink" Target="https://hub.floward.io/order/14324112" TargetMode="External"/><Relationship Id="rId19" Type="http://schemas.openxmlformats.org/officeDocument/2006/relationships/hyperlink" Target="https://hub.floward.io/order/14433349" TargetMode="External"/><Relationship Id="rId31" Type="http://schemas.openxmlformats.org/officeDocument/2006/relationships/hyperlink" Target="https://hub.floward.io/order/14555896" TargetMode="External"/><Relationship Id="rId44" Type="http://schemas.openxmlformats.org/officeDocument/2006/relationships/hyperlink" Target="https://hub.floward.io/order/14657438" TargetMode="External"/><Relationship Id="rId4" Type="http://schemas.openxmlformats.org/officeDocument/2006/relationships/hyperlink" Target="https://hub.floward.io/order/14313172" TargetMode="External"/><Relationship Id="rId9" Type="http://schemas.openxmlformats.org/officeDocument/2006/relationships/hyperlink" Target="https://hub.floward.io/order/14298600" TargetMode="External"/><Relationship Id="rId14" Type="http://schemas.openxmlformats.org/officeDocument/2006/relationships/hyperlink" Target="https://hub.floward.io/order/14433062" TargetMode="External"/><Relationship Id="rId22" Type="http://schemas.openxmlformats.org/officeDocument/2006/relationships/hyperlink" Target="https://hub.floward.io/order/14310446" TargetMode="External"/><Relationship Id="rId27" Type="http://schemas.openxmlformats.org/officeDocument/2006/relationships/hyperlink" Target="https://hub.floward.io/order/14515404" TargetMode="External"/><Relationship Id="rId30" Type="http://schemas.openxmlformats.org/officeDocument/2006/relationships/hyperlink" Target="https://hub.floward.io/order/14490970" TargetMode="External"/><Relationship Id="rId35" Type="http://schemas.openxmlformats.org/officeDocument/2006/relationships/hyperlink" Target="https://hub.floward.io/order/14584420" TargetMode="External"/><Relationship Id="rId43" Type="http://schemas.openxmlformats.org/officeDocument/2006/relationships/hyperlink" Target="https://hub.floward.io/order/14660075" TargetMode="External"/><Relationship Id="rId48" Type="http://schemas.openxmlformats.org/officeDocument/2006/relationships/hyperlink" Target="https://hub.floward.io/order/14658710" TargetMode="External"/><Relationship Id="rId8" Type="http://schemas.openxmlformats.org/officeDocument/2006/relationships/hyperlink" Target="https://hub.floward.io/order/14332931" TargetMode="External"/><Relationship Id="rId3" Type="http://schemas.openxmlformats.org/officeDocument/2006/relationships/hyperlink" Target="https://hub.floward.io/order/14298410" TargetMode="External"/><Relationship Id="rId12" Type="http://schemas.openxmlformats.org/officeDocument/2006/relationships/hyperlink" Target="https://hub.floward.io/order/14429591" TargetMode="External"/><Relationship Id="rId17" Type="http://schemas.openxmlformats.org/officeDocument/2006/relationships/hyperlink" Target="https://hub.floward.io/order/14433849" TargetMode="External"/><Relationship Id="rId25" Type="http://schemas.openxmlformats.org/officeDocument/2006/relationships/hyperlink" Target="https://hub.floward.io/order/14493090" TargetMode="External"/><Relationship Id="rId33" Type="http://schemas.openxmlformats.org/officeDocument/2006/relationships/hyperlink" Target="https://hub.floward.io/order/14526470" TargetMode="External"/><Relationship Id="rId38" Type="http://schemas.openxmlformats.org/officeDocument/2006/relationships/hyperlink" Target="https://hub.floward.io/order/14584652" TargetMode="External"/><Relationship Id="rId46" Type="http://schemas.openxmlformats.org/officeDocument/2006/relationships/hyperlink" Target="https://hub.floward.io/order/14657662" TargetMode="External"/><Relationship Id="rId20" Type="http://schemas.openxmlformats.org/officeDocument/2006/relationships/hyperlink" Target="https://hub.floward.io/order/14418126" TargetMode="External"/><Relationship Id="rId41" Type="http://schemas.openxmlformats.org/officeDocument/2006/relationships/hyperlink" Target="https://hub.floward.io/order/14635820" TargetMode="External"/><Relationship Id="rId1" Type="http://schemas.openxmlformats.org/officeDocument/2006/relationships/hyperlink" Target="https://hub.floward.io/order/14290048" TargetMode="External"/><Relationship Id="rId6" Type="http://schemas.openxmlformats.org/officeDocument/2006/relationships/hyperlink" Target="https://hub.floward.io/order/14334725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hub.floward.io/order/14790089" TargetMode="External"/><Relationship Id="rId13" Type="http://schemas.openxmlformats.org/officeDocument/2006/relationships/hyperlink" Target="https://hub.floward.io/order/14853970" TargetMode="External"/><Relationship Id="rId18" Type="http://schemas.openxmlformats.org/officeDocument/2006/relationships/hyperlink" Target="https://hub.floward.io/order/14879047" TargetMode="External"/><Relationship Id="rId26" Type="http://schemas.openxmlformats.org/officeDocument/2006/relationships/hyperlink" Target="https://hub.floward.io/order/14950417" TargetMode="External"/><Relationship Id="rId3" Type="http://schemas.openxmlformats.org/officeDocument/2006/relationships/hyperlink" Target="https://hub.floward.io/order/14743834" TargetMode="External"/><Relationship Id="rId21" Type="http://schemas.openxmlformats.org/officeDocument/2006/relationships/hyperlink" Target="https://hub.floward.io/order/14789994" TargetMode="External"/><Relationship Id="rId7" Type="http://schemas.openxmlformats.org/officeDocument/2006/relationships/hyperlink" Target="https://hub.floward.io/order/14762307" TargetMode="External"/><Relationship Id="rId12" Type="http://schemas.openxmlformats.org/officeDocument/2006/relationships/hyperlink" Target="https://hub.floward.io/order/14851638" TargetMode="External"/><Relationship Id="rId17" Type="http://schemas.openxmlformats.org/officeDocument/2006/relationships/hyperlink" Target="https://hub.floward.io/order/14914100" TargetMode="External"/><Relationship Id="rId25" Type="http://schemas.openxmlformats.org/officeDocument/2006/relationships/hyperlink" Target="https://hub.floward.io/order/14950487" TargetMode="External"/><Relationship Id="rId2" Type="http://schemas.openxmlformats.org/officeDocument/2006/relationships/hyperlink" Target="https://hub.floward.io/order/14724864" TargetMode="External"/><Relationship Id="rId16" Type="http://schemas.openxmlformats.org/officeDocument/2006/relationships/hyperlink" Target="https://hub.floward.io/order/14914144" TargetMode="External"/><Relationship Id="rId20" Type="http://schemas.openxmlformats.org/officeDocument/2006/relationships/hyperlink" Target="https://hub.floward.io/order/14817224" TargetMode="External"/><Relationship Id="rId29" Type="http://schemas.openxmlformats.org/officeDocument/2006/relationships/hyperlink" Target="https://hub.floward.io/order/14917206" TargetMode="External"/><Relationship Id="rId1" Type="http://schemas.openxmlformats.org/officeDocument/2006/relationships/hyperlink" Target="https://hub.floward.io/order/14681120" TargetMode="External"/><Relationship Id="rId6" Type="http://schemas.openxmlformats.org/officeDocument/2006/relationships/hyperlink" Target="https://hub.floward.io/order/14767206" TargetMode="External"/><Relationship Id="rId11" Type="http://schemas.openxmlformats.org/officeDocument/2006/relationships/hyperlink" Target="https://hub.floward.io/order/14853626" TargetMode="External"/><Relationship Id="rId24" Type="http://schemas.openxmlformats.org/officeDocument/2006/relationships/hyperlink" Target="https://hub.floward.io/order/14961903" TargetMode="External"/><Relationship Id="rId5" Type="http://schemas.openxmlformats.org/officeDocument/2006/relationships/hyperlink" Target="https://hub.floward.io/order/14764470" TargetMode="External"/><Relationship Id="rId15" Type="http://schemas.openxmlformats.org/officeDocument/2006/relationships/hyperlink" Target="https://hub.floward.io/order/14877468" TargetMode="External"/><Relationship Id="rId23" Type="http://schemas.openxmlformats.org/officeDocument/2006/relationships/hyperlink" Target="https://hub.floward.io/order/14914973" TargetMode="External"/><Relationship Id="rId28" Type="http://schemas.openxmlformats.org/officeDocument/2006/relationships/hyperlink" Target="https://hub.floward.io/order/14914973" TargetMode="External"/><Relationship Id="rId10" Type="http://schemas.openxmlformats.org/officeDocument/2006/relationships/hyperlink" Target="https://hub.floward.io/order/14836528" TargetMode="External"/><Relationship Id="rId19" Type="http://schemas.openxmlformats.org/officeDocument/2006/relationships/hyperlink" Target="https://hub.floward.io/order/14852560" TargetMode="External"/><Relationship Id="rId4" Type="http://schemas.openxmlformats.org/officeDocument/2006/relationships/hyperlink" Target="https://hub.floward.io/order/14764578" TargetMode="External"/><Relationship Id="rId9" Type="http://schemas.openxmlformats.org/officeDocument/2006/relationships/hyperlink" Target="https://hub.floward.io/order/14820386" TargetMode="External"/><Relationship Id="rId14" Type="http://schemas.openxmlformats.org/officeDocument/2006/relationships/hyperlink" Target="https://hub.floward.io/order/14853497" TargetMode="External"/><Relationship Id="rId22" Type="http://schemas.openxmlformats.org/officeDocument/2006/relationships/hyperlink" Target="https://hub.floward.io/order/14917206" TargetMode="External"/><Relationship Id="rId27" Type="http://schemas.openxmlformats.org/officeDocument/2006/relationships/hyperlink" Target="https://hub.floward.io/order/14938781" TargetMode="External"/><Relationship Id="rId30" Type="http://schemas.openxmlformats.org/officeDocument/2006/relationships/hyperlink" Target="https://hub.floward.io/order/14961824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hub.floward.io/order/15004986" TargetMode="External"/><Relationship Id="rId13" Type="http://schemas.openxmlformats.org/officeDocument/2006/relationships/hyperlink" Target="https://hub.floward.io/order/15167593" TargetMode="External"/><Relationship Id="rId18" Type="http://schemas.openxmlformats.org/officeDocument/2006/relationships/hyperlink" Target="https://hub.floward.io/order/15072050" TargetMode="External"/><Relationship Id="rId3" Type="http://schemas.openxmlformats.org/officeDocument/2006/relationships/hyperlink" Target="https://hub.floward.io/order/15148110" TargetMode="External"/><Relationship Id="rId7" Type="http://schemas.openxmlformats.org/officeDocument/2006/relationships/hyperlink" Target="https://hub.floward.io/order/15024173" TargetMode="External"/><Relationship Id="rId12" Type="http://schemas.openxmlformats.org/officeDocument/2006/relationships/hyperlink" Target="https://hub.floward.io/order/15203476" TargetMode="External"/><Relationship Id="rId17" Type="http://schemas.openxmlformats.org/officeDocument/2006/relationships/hyperlink" Target="https://hub.floward.io/order/15091773" TargetMode="External"/><Relationship Id="rId2" Type="http://schemas.openxmlformats.org/officeDocument/2006/relationships/hyperlink" Target="https://hub.floward.io/order/15259580" TargetMode="External"/><Relationship Id="rId16" Type="http://schemas.openxmlformats.org/officeDocument/2006/relationships/hyperlink" Target="https://hub.floward.io/order/15149246" TargetMode="External"/><Relationship Id="rId1" Type="http://schemas.openxmlformats.org/officeDocument/2006/relationships/hyperlink" Target="https://hub.floward.io/order/15156716" TargetMode="External"/><Relationship Id="rId6" Type="http://schemas.openxmlformats.org/officeDocument/2006/relationships/hyperlink" Target="https://hub.floward.io/order/15005267" TargetMode="External"/><Relationship Id="rId11" Type="http://schemas.openxmlformats.org/officeDocument/2006/relationships/hyperlink" Target="https://hub.floward.io/order/15106068" TargetMode="External"/><Relationship Id="rId5" Type="http://schemas.openxmlformats.org/officeDocument/2006/relationships/hyperlink" Target="https://hub.floward.io/order/15048309" TargetMode="External"/><Relationship Id="rId15" Type="http://schemas.openxmlformats.org/officeDocument/2006/relationships/hyperlink" Target="https://hub.floward.io/order/15259554" TargetMode="External"/><Relationship Id="rId10" Type="http://schemas.openxmlformats.org/officeDocument/2006/relationships/hyperlink" Target="https://hub.floward.io/order/15091563" TargetMode="External"/><Relationship Id="rId19" Type="http://schemas.openxmlformats.org/officeDocument/2006/relationships/hyperlink" Target="https://hub.floward.io/order/15004915" TargetMode="External"/><Relationship Id="rId4" Type="http://schemas.openxmlformats.org/officeDocument/2006/relationships/hyperlink" Target="https://hub.floward.io/order/15100880" TargetMode="External"/><Relationship Id="rId9" Type="http://schemas.openxmlformats.org/officeDocument/2006/relationships/hyperlink" Target="https://hub.floward.io/order/14993472" TargetMode="External"/><Relationship Id="rId14" Type="http://schemas.openxmlformats.org/officeDocument/2006/relationships/hyperlink" Target="https://hub.floward.io/order/15167447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hub.floward.io/order/15450789" TargetMode="External"/><Relationship Id="rId13" Type="http://schemas.openxmlformats.org/officeDocument/2006/relationships/hyperlink" Target="https://hub.floward.io/order/15555869" TargetMode="External"/><Relationship Id="rId3" Type="http://schemas.openxmlformats.org/officeDocument/2006/relationships/hyperlink" Target="https://hub.floward.io/order/15363552" TargetMode="External"/><Relationship Id="rId7" Type="http://schemas.openxmlformats.org/officeDocument/2006/relationships/hyperlink" Target="https://hub.floward.io/order/15422532" TargetMode="External"/><Relationship Id="rId12" Type="http://schemas.openxmlformats.org/officeDocument/2006/relationships/hyperlink" Target="https://hub.floward.io/order/15555171" TargetMode="External"/><Relationship Id="rId2" Type="http://schemas.openxmlformats.org/officeDocument/2006/relationships/hyperlink" Target="https://hub.floward.io/order/15292178" TargetMode="External"/><Relationship Id="rId1" Type="http://schemas.openxmlformats.org/officeDocument/2006/relationships/hyperlink" Target="https://hub.floward.io/order/15276989" TargetMode="External"/><Relationship Id="rId6" Type="http://schemas.openxmlformats.org/officeDocument/2006/relationships/hyperlink" Target="https://hub.floward.io/order/15384190" TargetMode="External"/><Relationship Id="rId11" Type="http://schemas.openxmlformats.org/officeDocument/2006/relationships/hyperlink" Target="https://hub.floward.io/order/15506660" TargetMode="External"/><Relationship Id="rId5" Type="http://schemas.openxmlformats.org/officeDocument/2006/relationships/hyperlink" Target="https://hub.floward.io/order/15373843" TargetMode="External"/><Relationship Id="rId15" Type="http://schemas.openxmlformats.org/officeDocument/2006/relationships/hyperlink" Target="https://hub.floward.io/order/15503569" TargetMode="External"/><Relationship Id="rId10" Type="http://schemas.openxmlformats.org/officeDocument/2006/relationships/hyperlink" Target="https://hub.floward.io/order/15450789" TargetMode="External"/><Relationship Id="rId4" Type="http://schemas.openxmlformats.org/officeDocument/2006/relationships/hyperlink" Target="https://hub.floward.io/order/15344874" TargetMode="External"/><Relationship Id="rId9" Type="http://schemas.openxmlformats.org/officeDocument/2006/relationships/hyperlink" Target="https://hub.floward.io/order/15506660" TargetMode="External"/><Relationship Id="rId14" Type="http://schemas.openxmlformats.org/officeDocument/2006/relationships/hyperlink" Target="https://hub.floward.io/order/15555560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hub.floward.io/order/15739033" TargetMode="External"/><Relationship Id="rId18" Type="http://schemas.openxmlformats.org/officeDocument/2006/relationships/hyperlink" Target="https://hub.floward.io/order/15761962" TargetMode="External"/><Relationship Id="rId26" Type="http://schemas.openxmlformats.org/officeDocument/2006/relationships/hyperlink" Target="https://hub.floward.io/order/15801551" TargetMode="External"/><Relationship Id="rId39" Type="http://schemas.openxmlformats.org/officeDocument/2006/relationships/hyperlink" Target="https://hub.floward.io/order/15802615" TargetMode="External"/><Relationship Id="rId21" Type="http://schemas.openxmlformats.org/officeDocument/2006/relationships/hyperlink" Target="https://hub.floward.io/order/15764748" TargetMode="External"/><Relationship Id="rId34" Type="http://schemas.openxmlformats.org/officeDocument/2006/relationships/hyperlink" Target="https://hub.floward.io/order/15813512" TargetMode="External"/><Relationship Id="rId42" Type="http://schemas.openxmlformats.org/officeDocument/2006/relationships/hyperlink" Target="https://hub.floward.io/order/15846542" TargetMode="External"/><Relationship Id="rId47" Type="http://schemas.openxmlformats.org/officeDocument/2006/relationships/hyperlink" Target="https://hub.floward.io/order/15431951" TargetMode="External"/><Relationship Id="rId50" Type="http://schemas.openxmlformats.org/officeDocument/2006/relationships/hyperlink" Target="https://hub.floward.io/order/15880940" TargetMode="External"/><Relationship Id="rId55" Type="http://schemas.openxmlformats.org/officeDocument/2006/relationships/hyperlink" Target="https://hub.floward.io/order/15867727" TargetMode="External"/><Relationship Id="rId7" Type="http://schemas.openxmlformats.org/officeDocument/2006/relationships/hyperlink" Target="https://hub.floward.io/order/15674594" TargetMode="External"/><Relationship Id="rId2" Type="http://schemas.openxmlformats.org/officeDocument/2006/relationships/hyperlink" Target="https://hub.floward.io/order/15593283" TargetMode="External"/><Relationship Id="rId16" Type="http://schemas.openxmlformats.org/officeDocument/2006/relationships/hyperlink" Target="https://hub.floward.io/order/15747724" TargetMode="External"/><Relationship Id="rId29" Type="http://schemas.openxmlformats.org/officeDocument/2006/relationships/hyperlink" Target="https://hub.floward.io/order/15802423" TargetMode="External"/><Relationship Id="rId11" Type="http://schemas.openxmlformats.org/officeDocument/2006/relationships/hyperlink" Target="https://hub.floward.io/order/15740053" TargetMode="External"/><Relationship Id="rId24" Type="http://schemas.openxmlformats.org/officeDocument/2006/relationships/hyperlink" Target="https://hub.floward.io/order/15801117" TargetMode="External"/><Relationship Id="rId32" Type="http://schemas.openxmlformats.org/officeDocument/2006/relationships/hyperlink" Target="https://hub.floward.io/order/15806901" TargetMode="External"/><Relationship Id="rId37" Type="http://schemas.openxmlformats.org/officeDocument/2006/relationships/hyperlink" Target="https://hub.floward.io/order/15705952" TargetMode="External"/><Relationship Id="rId40" Type="http://schemas.openxmlformats.org/officeDocument/2006/relationships/hyperlink" Target="https://hub.floward.io/order/15676836" TargetMode="External"/><Relationship Id="rId45" Type="http://schemas.openxmlformats.org/officeDocument/2006/relationships/hyperlink" Target="https://hub.floward.io/order/15847936" TargetMode="External"/><Relationship Id="rId53" Type="http://schemas.openxmlformats.org/officeDocument/2006/relationships/hyperlink" Target="https://hub.floward.io/order/15894088" TargetMode="External"/><Relationship Id="rId5" Type="http://schemas.openxmlformats.org/officeDocument/2006/relationships/hyperlink" Target="https://hub.floward.io/order/15654844" TargetMode="External"/><Relationship Id="rId10" Type="http://schemas.openxmlformats.org/officeDocument/2006/relationships/hyperlink" Target="https://hub.floward.io/order/15718575" TargetMode="External"/><Relationship Id="rId19" Type="http://schemas.openxmlformats.org/officeDocument/2006/relationships/hyperlink" Target="https://hub.floward.io/order/15761934" TargetMode="External"/><Relationship Id="rId31" Type="http://schemas.openxmlformats.org/officeDocument/2006/relationships/hyperlink" Target="https://hub.floward.io/order/15806966" TargetMode="External"/><Relationship Id="rId44" Type="http://schemas.openxmlformats.org/officeDocument/2006/relationships/hyperlink" Target="https://hub.floward.io/order/15847155" TargetMode="External"/><Relationship Id="rId52" Type="http://schemas.openxmlformats.org/officeDocument/2006/relationships/hyperlink" Target="https://hub.floward.io/order/15894934" TargetMode="External"/><Relationship Id="rId4" Type="http://schemas.openxmlformats.org/officeDocument/2006/relationships/hyperlink" Target="https://hub.floward.io/order/15634089" TargetMode="External"/><Relationship Id="rId9" Type="http://schemas.openxmlformats.org/officeDocument/2006/relationships/hyperlink" Target="https://hub.floward.io/order/15717761" TargetMode="External"/><Relationship Id="rId14" Type="http://schemas.openxmlformats.org/officeDocument/2006/relationships/hyperlink" Target="https://hub.floward.io/order/15739344" TargetMode="External"/><Relationship Id="rId22" Type="http://schemas.openxmlformats.org/officeDocument/2006/relationships/hyperlink" Target="https://hub.floward.io/order/15782757" TargetMode="External"/><Relationship Id="rId27" Type="http://schemas.openxmlformats.org/officeDocument/2006/relationships/hyperlink" Target="https://hub.floward.io/order/15801707" TargetMode="External"/><Relationship Id="rId30" Type="http://schemas.openxmlformats.org/officeDocument/2006/relationships/hyperlink" Target="https://hub.floward.io/order/15806922" TargetMode="External"/><Relationship Id="rId35" Type="http://schemas.openxmlformats.org/officeDocument/2006/relationships/hyperlink" Target="https://hub.floward.io/order/15817998" TargetMode="External"/><Relationship Id="rId43" Type="http://schemas.openxmlformats.org/officeDocument/2006/relationships/hyperlink" Target="https://hub.floward.io/order/15847155" TargetMode="External"/><Relationship Id="rId48" Type="http://schemas.openxmlformats.org/officeDocument/2006/relationships/hyperlink" Target="https://hub.floward.io/order/15856255" TargetMode="External"/><Relationship Id="rId56" Type="http://schemas.openxmlformats.org/officeDocument/2006/relationships/printerSettings" Target="../printerSettings/printerSettings4.bin"/><Relationship Id="rId8" Type="http://schemas.openxmlformats.org/officeDocument/2006/relationships/hyperlink" Target="https://hub.floward.io/order/15716342" TargetMode="External"/><Relationship Id="rId51" Type="http://schemas.openxmlformats.org/officeDocument/2006/relationships/hyperlink" Target="https://hub.floward.io/order/15800983" TargetMode="External"/><Relationship Id="rId3" Type="http://schemas.openxmlformats.org/officeDocument/2006/relationships/hyperlink" Target="https://hub.floward.io/order/15628805" TargetMode="External"/><Relationship Id="rId12" Type="http://schemas.openxmlformats.org/officeDocument/2006/relationships/hyperlink" Target="https://hub.floward.io/order/15736585" TargetMode="External"/><Relationship Id="rId17" Type="http://schemas.openxmlformats.org/officeDocument/2006/relationships/hyperlink" Target="https://hub.floward.io/order/15760276" TargetMode="External"/><Relationship Id="rId25" Type="http://schemas.openxmlformats.org/officeDocument/2006/relationships/hyperlink" Target="https://hub.floward.io/order/15800855" TargetMode="External"/><Relationship Id="rId33" Type="http://schemas.openxmlformats.org/officeDocument/2006/relationships/hyperlink" Target="https://hub.floward.io/order/15807500" TargetMode="External"/><Relationship Id="rId38" Type="http://schemas.openxmlformats.org/officeDocument/2006/relationships/hyperlink" Target="https://hub.floward.io/order/15739632" TargetMode="External"/><Relationship Id="rId46" Type="http://schemas.openxmlformats.org/officeDocument/2006/relationships/hyperlink" Target="https://hub.floward.io/order/15848894" TargetMode="External"/><Relationship Id="rId20" Type="http://schemas.openxmlformats.org/officeDocument/2006/relationships/hyperlink" Target="https://hub.floward.io/order/15762164" TargetMode="External"/><Relationship Id="rId41" Type="http://schemas.openxmlformats.org/officeDocument/2006/relationships/hyperlink" Target="https://hub.floward.io/order/15677946" TargetMode="External"/><Relationship Id="rId54" Type="http://schemas.openxmlformats.org/officeDocument/2006/relationships/hyperlink" Target="https://hub.floward.io/order/15891869" TargetMode="External"/><Relationship Id="rId1" Type="http://schemas.openxmlformats.org/officeDocument/2006/relationships/hyperlink" Target="https://hub.floward.io/order/15595654" TargetMode="External"/><Relationship Id="rId6" Type="http://schemas.openxmlformats.org/officeDocument/2006/relationships/hyperlink" Target="https://hub.floward.io/order/15666515" TargetMode="External"/><Relationship Id="rId15" Type="http://schemas.openxmlformats.org/officeDocument/2006/relationships/hyperlink" Target="https://hub.floward.io/order/15747494" TargetMode="External"/><Relationship Id="rId23" Type="http://schemas.openxmlformats.org/officeDocument/2006/relationships/hyperlink" Target="https://hub.floward.io/order/15782871" TargetMode="External"/><Relationship Id="rId28" Type="http://schemas.openxmlformats.org/officeDocument/2006/relationships/hyperlink" Target="https://hub.floward.io/order/15802043" TargetMode="External"/><Relationship Id="rId36" Type="http://schemas.openxmlformats.org/officeDocument/2006/relationships/hyperlink" Target="https://hub.floward.io/order/15678494" TargetMode="External"/><Relationship Id="rId49" Type="http://schemas.openxmlformats.org/officeDocument/2006/relationships/hyperlink" Target="https://hub.floward.io/order/15845661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https://hub.floward.io/order/16041083" TargetMode="External"/><Relationship Id="rId18" Type="http://schemas.openxmlformats.org/officeDocument/2006/relationships/hyperlink" Target="https://hub.floward.io/order/16001833" TargetMode="External"/><Relationship Id="rId26" Type="http://schemas.openxmlformats.org/officeDocument/2006/relationships/hyperlink" Target="https://hub.floward.io/order/16068754" TargetMode="External"/><Relationship Id="rId39" Type="http://schemas.openxmlformats.org/officeDocument/2006/relationships/hyperlink" Target="https://hub.floward.io/order/16148458" TargetMode="External"/><Relationship Id="rId21" Type="http://schemas.openxmlformats.org/officeDocument/2006/relationships/hyperlink" Target="https://hub.floward.io/order/16100232" TargetMode="External"/><Relationship Id="rId34" Type="http://schemas.openxmlformats.org/officeDocument/2006/relationships/hyperlink" Target="https://hub.floward.io/order/16141085" TargetMode="External"/><Relationship Id="rId42" Type="http://schemas.openxmlformats.org/officeDocument/2006/relationships/hyperlink" Target="https://hub.floward.io/order/16200154" TargetMode="External"/><Relationship Id="rId7" Type="http://schemas.openxmlformats.org/officeDocument/2006/relationships/hyperlink" Target="https://hub.floward.io/order/15962071" TargetMode="External"/><Relationship Id="rId2" Type="http://schemas.openxmlformats.org/officeDocument/2006/relationships/hyperlink" Target="https://hub.floward.io/order/15914741" TargetMode="External"/><Relationship Id="rId16" Type="http://schemas.openxmlformats.org/officeDocument/2006/relationships/hyperlink" Target="https://hub.floward.io/order/16069048" TargetMode="External"/><Relationship Id="rId29" Type="http://schemas.openxmlformats.org/officeDocument/2006/relationships/hyperlink" Target="https://hub.floward.io/order/16130975" TargetMode="External"/><Relationship Id="rId1" Type="http://schemas.openxmlformats.org/officeDocument/2006/relationships/hyperlink" Target="https://hub.floward.io/order/15914714" TargetMode="External"/><Relationship Id="rId6" Type="http://schemas.openxmlformats.org/officeDocument/2006/relationships/hyperlink" Target="https://hub.floward.io/order/15958548" TargetMode="External"/><Relationship Id="rId11" Type="http://schemas.openxmlformats.org/officeDocument/2006/relationships/hyperlink" Target="https://hub.floward.io/order/16010016" TargetMode="External"/><Relationship Id="rId24" Type="http://schemas.openxmlformats.org/officeDocument/2006/relationships/hyperlink" Target="https://hub.floward.io/order/16098692" TargetMode="External"/><Relationship Id="rId32" Type="http://schemas.openxmlformats.org/officeDocument/2006/relationships/hyperlink" Target="https://hub.floward.io/order/16132224" TargetMode="External"/><Relationship Id="rId37" Type="http://schemas.openxmlformats.org/officeDocument/2006/relationships/hyperlink" Target="https://hub.floward.io/order/16147906" TargetMode="External"/><Relationship Id="rId40" Type="http://schemas.openxmlformats.org/officeDocument/2006/relationships/hyperlink" Target="https://hub.floward.io/order/16148032" TargetMode="External"/><Relationship Id="rId45" Type="http://schemas.openxmlformats.org/officeDocument/2006/relationships/hyperlink" Target="https://hub.floward.io/order/16200005" TargetMode="External"/><Relationship Id="rId5" Type="http://schemas.openxmlformats.org/officeDocument/2006/relationships/hyperlink" Target="https://hub.floward.io/order/15951820" TargetMode="External"/><Relationship Id="rId15" Type="http://schemas.openxmlformats.org/officeDocument/2006/relationships/hyperlink" Target="https://hub.floward.io/order/16068707" TargetMode="External"/><Relationship Id="rId23" Type="http://schemas.openxmlformats.org/officeDocument/2006/relationships/hyperlink" Target="https://hub.floward.io/order/16104545" TargetMode="External"/><Relationship Id="rId28" Type="http://schemas.openxmlformats.org/officeDocument/2006/relationships/hyperlink" Target="https://hub.floward.io/order/16138188" TargetMode="External"/><Relationship Id="rId36" Type="http://schemas.openxmlformats.org/officeDocument/2006/relationships/hyperlink" Target="https://hub.floward.io/order/16141112" TargetMode="External"/><Relationship Id="rId10" Type="http://schemas.openxmlformats.org/officeDocument/2006/relationships/hyperlink" Target="https://hub.floward.io/order/16002016" TargetMode="External"/><Relationship Id="rId19" Type="http://schemas.openxmlformats.org/officeDocument/2006/relationships/hyperlink" Target="https://hub.floward.io/order/16079240" TargetMode="External"/><Relationship Id="rId31" Type="http://schemas.openxmlformats.org/officeDocument/2006/relationships/hyperlink" Target="https://hub.floward.io/order/16131473" TargetMode="External"/><Relationship Id="rId44" Type="http://schemas.openxmlformats.org/officeDocument/2006/relationships/hyperlink" Target="https://hub.floward.io/order/16199968" TargetMode="External"/><Relationship Id="rId4" Type="http://schemas.openxmlformats.org/officeDocument/2006/relationships/hyperlink" Target="https://hub.floward.io/order/15914794" TargetMode="External"/><Relationship Id="rId9" Type="http://schemas.openxmlformats.org/officeDocument/2006/relationships/hyperlink" Target="https://hub.floward.io/order/16000762" TargetMode="External"/><Relationship Id="rId14" Type="http://schemas.openxmlformats.org/officeDocument/2006/relationships/hyperlink" Target="https://hub.floward.io/order/16068300" TargetMode="External"/><Relationship Id="rId22" Type="http://schemas.openxmlformats.org/officeDocument/2006/relationships/hyperlink" Target="https://hub.floward.io/order/16104545" TargetMode="External"/><Relationship Id="rId27" Type="http://schemas.openxmlformats.org/officeDocument/2006/relationships/hyperlink" Target="https://hub.floward.io/order/16138644" TargetMode="External"/><Relationship Id="rId30" Type="http://schemas.openxmlformats.org/officeDocument/2006/relationships/hyperlink" Target="https://hub.floward.io/order/16131252" TargetMode="External"/><Relationship Id="rId35" Type="http://schemas.openxmlformats.org/officeDocument/2006/relationships/hyperlink" Target="https://hub.floward.io/order/16141424" TargetMode="External"/><Relationship Id="rId43" Type="http://schemas.openxmlformats.org/officeDocument/2006/relationships/hyperlink" Target="https://hub.floward.io/order/16199895" TargetMode="External"/><Relationship Id="rId8" Type="http://schemas.openxmlformats.org/officeDocument/2006/relationships/hyperlink" Target="https://hub.floward.io/order/15999456" TargetMode="External"/><Relationship Id="rId3" Type="http://schemas.openxmlformats.org/officeDocument/2006/relationships/hyperlink" Target="https://hub.floward.io/order/15914772" TargetMode="External"/><Relationship Id="rId12" Type="http://schemas.openxmlformats.org/officeDocument/2006/relationships/hyperlink" Target="https://hub.floward.io/order/16020209" TargetMode="External"/><Relationship Id="rId17" Type="http://schemas.openxmlformats.org/officeDocument/2006/relationships/hyperlink" Target="https://hub.floward.io/order/16069048" TargetMode="External"/><Relationship Id="rId25" Type="http://schemas.openxmlformats.org/officeDocument/2006/relationships/hyperlink" Target="https://hub.floward.io/order/16107349" TargetMode="External"/><Relationship Id="rId33" Type="http://schemas.openxmlformats.org/officeDocument/2006/relationships/hyperlink" Target="https://hub.floward.io/order/16139993" TargetMode="External"/><Relationship Id="rId38" Type="http://schemas.openxmlformats.org/officeDocument/2006/relationships/hyperlink" Target="https://hub.floward.io/order/16148215" TargetMode="External"/><Relationship Id="rId20" Type="http://schemas.openxmlformats.org/officeDocument/2006/relationships/hyperlink" Target="https://hub.floward.io/order/16095489" TargetMode="External"/><Relationship Id="rId41" Type="http://schemas.openxmlformats.org/officeDocument/2006/relationships/hyperlink" Target="https://hub.floward.io/order/16020182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https://hub.floward.io/order/16245780" TargetMode="External"/><Relationship Id="rId18" Type="http://schemas.openxmlformats.org/officeDocument/2006/relationships/hyperlink" Target="https://hub.floward.io/order/16295777" TargetMode="External"/><Relationship Id="rId26" Type="http://schemas.openxmlformats.org/officeDocument/2006/relationships/hyperlink" Target="https://hub.floward.io/order/16381789" TargetMode="External"/><Relationship Id="rId39" Type="http://schemas.openxmlformats.org/officeDocument/2006/relationships/hyperlink" Target="https://hub.floward.io/order/16491441" TargetMode="External"/><Relationship Id="rId21" Type="http://schemas.openxmlformats.org/officeDocument/2006/relationships/hyperlink" Target="https://hub.floward.io/order/16342157" TargetMode="External"/><Relationship Id="rId34" Type="http://schemas.openxmlformats.org/officeDocument/2006/relationships/hyperlink" Target="https://hub.floward.io/order/16444279" TargetMode="External"/><Relationship Id="rId42" Type="http://schemas.openxmlformats.org/officeDocument/2006/relationships/hyperlink" Target="https://hub.floward.io/order/16494962" TargetMode="External"/><Relationship Id="rId47" Type="http://schemas.openxmlformats.org/officeDocument/2006/relationships/hyperlink" Target="https://hub.floward.io/order/16525060" TargetMode="External"/><Relationship Id="rId50" Type="http://schemas.openxmlformats.org/officeDocument/2006/relationships/hyperlink" Target="https://hub.floward.io/order/16529593" TargetMode="External"/><Relationship Id="rId55" Type="http://schemas.openxmlformats.org/officeDocument/2006/relationships/hyperlink" Target="https://hub.floward.io/order/16530284" TargetMode="External"/><Relationship Id="rId7" Type="http://schemas.openxmlformats.org/officeDocument/2006/relationships/hyperlink" Target="https://hub.floward.io/order/16236199" TargetMode="External"/><Relationship Id="rId2" Type="http://schemas.openxmlformats.org/officeDocument/2006/relationships/hyperlink" Target="https://hub.floward.io/order/16210074" TargetMode="External"/><Relationship Id="rId16" Type="http://schemas.openxmlformats.org/officeDocument/2006/relationships/hyperlink" Target="https://hub.floward.io/order/16284556" TargetMode="External"/><Relationship Id="rId29" Type="http://schemas.openxmlformats.org/officeDocument/2006/relationships/hyperlink" Target="https://hub.floward.io/order/16424313" TargetMode="External"/><Relationship Id="rId11" Type="http://schemas.openxmlformats.org/officeDocument/2006/relationships/hyperlink" Target="https://hub.floward.io/order/16265548" TargetMode="External"/><Relationship Id="rId24" Type="http://schemas.openxmlformats.org/officeDocument/2006/relationships/hyperlink" Target="https://hub.floward.io/order/16370898" TargetMode="External"/><Relationship Id="rId32" Type="http://schemas.openxmlformats.org/officeDocument/2006/relationships/hyperlink" Target="https://hub.floward.io/order/16434517" TargetMode="External"/><Relationship Id="rId37" Type="http://schemas.openxmlformats.org/officeDocument/2006/relationships/hyperlink" Target="https://hub.floward.io/order/16491439" TargetMode="External"/><Relationship Id="rId40" Type="http://schemas.openxmlformats.org/officeDocument/2006/relationships/hyperlink" Target="https://hub.floward.io/order/16491442" TargetMode="External"/><Relationship Id="rId45" Type="http://schemas.openxmlformats.org/officeDocument/2006/relationships/hyperlink" Target="https://hub.floward.io/order/16524817" TargetMode="External"/><Relationship Id="rId53" Type="http://schemas.openxmlformats.org/officeDocument/2006/relationships/hyperlink" Target="https://hub.floward.io/order/16525322" TargetMode="External"/><Relationship Id="rId58" Type="http://schemas.openxmlformats.org/officeDocument/2006/relationships/printerSettings" Target="../printerSettings/printerSettings5.bin"/><Relationship Id="rId5" Type="http://schemas.openxmlformats.org/officeDocument/2006/relationships/hyperlink" Target="https://hub.floward.io/order/16211967" TargetMode="External"/><Relationship Id="rId19" Type="http://schemas.openxmlformats.org/officeDocument/2006/relationships/hyperlink" Target="https://hub.floward.io/order/16313874" TargetMode="External"/><Relationship Id="rId4" Type="http://schemas.openxmlformats.org/officeDocument/2006/relationships/hyperlink" Target="https://hub.floward.io/order/16221647" TargetMode="External"/><Relationship Id="rId9" Type="http://schemas.openxmlformats.org/officeDocument/2006/relationships/hyperlink" Target="https://hub.floward.io/order/16255330" TargetMode="External"/><Relationship Id="rId14" Type="http://schemas.openxmlformats.org/officeDocument/2006/relationships/hyperlink" Target="https://hub.floward.io/order/16245825" TargetMode="External"/><Relationship Id="rId22" Type="http://schemas.openxmlformats.org/officeDocument/2006/relationships/hyperlink" Target="https://hub.floward.io/order/16343502" TargetMode="External"/><Relationship Id="rId27" Type="http://schemas.openxmlformats.org/officeDocument/2006/relationships/hyperlink" Target="https://hub.floward.io/order/16372721" TargetMode="External"/><Relationship Id="rId30" Type="http://schemas.openxmlformats.org/officeDocument/2006/relationships/hyperlink" Target="https://hub.floward.io/order/16426110" TargetMode="External"/><Relationship Id="rId35" Type="http://schemas.openxmlformats.org/officeDocument/2006/relationships/hyperlink" Target="https://hub.floward.io/order/16447408" TargetMode="External"/><Relationship Id="rId43" Type="http://schemas.openxmlformats.org/officeDocument/2006/relationships/hyperlink" Target="https://hub.floward.io/order/16508117" TargetMode="External"/><Relationship Id="rId48" Type="http://schemas.openxmlformats.org/officeDocument/2006/relationships/hyperlink" Target="https://hub.floward.io/order/16525098" TargetMode="External"/><Relationship Id="rId56" Type="http://schemas.openxmlformats.org/officeDocument/2006/relationships/hyperlink" Target="https://hub.floward.io/order/16507644" TargetMode="External"/><Relationship Id="rId8" Type="http://schemas.openxmlformats.org/officeDocument/2006/relationships/hyperlink" Target="https://hub.floward.io/order/16235082" TargetMode="External"/><Relationship Id="rId51" Type="http://schemas.openxmlformats.org/officeDocument/2006/relationships/hyperlink" Target="https://hub.floward.io/order/16539264" TargetMode="External"/><Relationship Id="rId3" Type="http://schemas.openxmlformats.org/officeDocument/2006/relationships/hyperlink" Target="https://hub.floward.io/order/16223321" TargetMode="External"/><Relationship Id="rId12" Type="http://schemas.openxmlformats.org/officeDocument/2006/relationships/hyperlink" Target="https://hub.floward.io/order/16264926" TargetMode="External"/><Relationship Id="rId17" Type="http://schemas.openxmlformats.org/officeDocument/2006/relationships/hyperlink" Target="https://hub.floward.io/order/16287892" TargetMode="External"/><Relationship Id="rId25" Type="http://schemas.openxmlformats.org/officeDocument/2006/relationships/hyperlink" Target="https://hub.floward.io/order/16343351" TargetMode="External"/><Relationship Id="rId33" Type="http://schemas.openxmlformats.org/officeDocument/2006/relationships/hyperlink" Target="https://hub.floward.io/order/16435626" TargetMode="External"/><Relationship Id="rId38" Type="http://schemas.openxmlformats.org/officeDocument/2006/relationships/hyperlink" Target="https://hub.floward.io/order/16491440" TargetMode="External"/><Relationship Id="rId46" Type="http://schemas.openxmlformats.org/officeDocument/2006/relationships/hyperlink" Target="https://hub.floward.io/order/16524851" TargetMode="External"/><Relationship Id="rId20" Type="http://schemas.openxmlformats.org/officeDocument/2006/relationships/hyperlink" Target="https://hub.floward.io/order/16318551" TargetMode="External"/><Relationship Id="rId41" Type="http://schemas.openxmlformats.org/officeDocument/2006/relationships/hyperlink" Target="https://hub.floward.io/order/16491443" TargetMode="External"/><Relationship Id="rId54" Type="http://schemas.openxmlformats.org/officeDocument/2006/relationships/hyperlink" Target="https://hub.floward.io/order/16493655" TargetMode="External"/><Relationship Id="rId1" Type="http://schemas.openxmlformats.org/officeDocument/2006/relationships/hyperlink" Target="https://hub.floward.io/order/16224875" TargetMode="External"/><Relationship Id="rId6" Type="http://schemas.openxmlformats.org/officeDocument/2006/relationships/hyperlink" Target="https://hub.floward.io/order/16212143" TargetMode="External"/><Relationship Id="rId15" Type="http://schemas.openxmlformats.org/officeDocument/2006/relationships/hyperlink" Target="https://hub.floward.io/order/16283601" TargetMode="External"/><Relationship Id="rId23" Type="http://schemas.openxmlformats.org/officeDocument/2006/relationships/hyperlink" Target="https://hub.floward.io/order/16361818" TargetMode="External"/><Relationship Id="rId28" Type="http://schemas.openxmlformats.org/officeDocument/2006/relationships/hyperlink" Target="https://hub.floward.io/order/16405484" TargetMode="External"/><Relationship Id="rId36" Type="http://schemas.openxmlformats.org/officeDocument/2006/relationships/hyperlink" Target="https://hub.floward.io/order/16481315" TargetMode="External"/><Relationship Id="rId49" Type="http://schemas.openxmlformats.org/officeDocument/2006/relationships/hyperlink" Target="https://hub.floward.io/order/16527482" TargetMode="External"/><Relationship Id="rId57" Type="http://schemas.openxmlformats.org/officeDocument/2006/relationships/hyperlink" Target="https://hub.floward.io/order/16493427" TargetMode="External"/><Relationship Id="rId10" Type="http://schemas.openxmlformats.org/officeDocument/2006/relationships/hyperlink" Target="https://hub.floward.io/order/16255092" TargetMode="External"/><Relationship Id="rId31" Type="http://schemas.openxmlformats.org/officeDocument/2006/relationships/hyperlink" Target="https://hub.floward.io/order/16434358" TargetMode="External"/><Relationship Id="rId44" Type="http://schemas.openxmlformats.org/officeDocument/2006/relationships/hyperlink" Target="https://hub.floward.io/order/16524674" TargetMode="External"/><Relationship Id="rId52" Type="http://schemas.openxmlformats.org/officeDocument/2006/relationships/hyperlink" Target="https://hub.floward.io/order/165299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ECD8-13FA-4866-B2C2-F86F0E46DBE3}">
  <dimension ref="A1:N17"/>
  <sheetViews>
    <sheetView topLeftCell="B1" workbookViewId="0">
      <selection activeCell="M9" sqref="M9"/>
    </sheetView>
  </sheetViews>
  <sheetFormatPr defaultRowHeight="14.4"/>
  <cols>
    <col min="1" max="1" width="8.33203125" customWidth="1"/>
    <col min="2" max="2" width="9.5546875" customWidth="1"/>
    <col min="3" max="4" width="13.5546875" customWidth="1"/>
    <col min="5" max="5" width="28.33203125" customWidth="1"/>
    <col min="6" max="6" width="16.33203125" customWidth="1"/>
    <col min="7" max="7" width="19.33203125" bestFit="1" customWidth="1"/>
    <col min="8" max="8" width="16.44140625" customWidth="1"/>
    <col min="9" max="9" width="12.6640625" customWidth="1"/>
    <col min="10" max="11" width="14.6640625" customWidth="1"/>
    <col min="12" max="12" width="17.88671875" customWidth="1"/>
    <col min="13" max="13" width="20.332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s="6">
        <v>45636</v>
      </c>
      <c r="E2" t="s">
        <v>16</v>
      </c>
      <c r="F2" s="1">
        <v>4.7300000000000004</v>
      </c>
      <c r="G2" s="1" t="s">
        <v>17</v>
      </c>
      <c r="I2" s="4">
        <v>2</v>
      </c>
      <c r="J2" s="2">
        <f>(Table3[[#This Row],[Selling price]]-Table3[[#This Row],[Cost price]])/Table3[[#This Row],[Selling price]]</f>
        <v>0.57716701902748413</v>
      </c>
      <c r="K2" s="7">
        <f>Table3[[#This Row],[Selling price]]-Table3[[#This Row],[Cost price]]</f>
        <v>2.7300000000000004</v>
      </c>
      <c r="L2" t="s">
        <v>18</v>
      </c>
      <c r="M2" s="8">
        <v>12307504</v>
      </c>
    </row>
    <row r="3" spans="1:14">
      <c r="A3" t="s">
        <v>14</v>
      </c>
      <c r="B3" t="s">
        <v>15</v>
      </c>
      <c r="C3" s="6">
        <v>45636</v>
      </c>
      <c r="E3" t="s">
        <v>16</v>
      </c>
      <c r="F3" s="3">
        <v>15.75</v>
      </c>
      <c r="G3" s="1" t="s">
        <v>17</v>
      </c>
      <c r="I3" s="4"/>
      <c r="J3" s="5">
        <f>(Table3[[#This Row],[Selling price]]-Table3[[#This Row],[Cost price]])/Table3[[#This Row],[Selling price]]</f>
        <v>1</v>
      </c>
      <c r="K3" s="1">
        <f>Table3[[#This Row],[Selling price]]-Table3[[#This Row],[Cost price]]</f>
        <v>15.75</v>
      </c>
      <c r="L3" t="s">
        <v>18</v>
      </c>
      <c r="M3" s="8">
        <v>12307437</v>
      </c>
    </row>
    <row r="4" spans="1:14">
      <c r="A4" t="s">
        <v>14</v>
      </c>
      <c r="B4" t="s">
        <v>15</v>
      </c>
      <c r="C4" s="6">
        <v>45636</v>
      </c>
      <c r="E4" t="s">
        <v>16</v>
      </c>
      <c r="F4" s="1">
        <v>4.7300000000000004</v>
      </c>
      <c r="G4" s="1" t="s">
        <v>17</v>
      </c>
      <c r="I4" s="4"/>
      <c r="J4" s="2">
        <f>(Table3[[#This Row],[Selling price]]-Table3[[#This Row],[Cost price]])/Table3[[#This Row],[Selling price]]</f>
        <v>1</v>
      </c>
      <c r="K4" s="1">
        <f>Table3[[#This Row],[Selling price]]-Table3[[#This Row],[Cost price]]</f>
        <v>4.7300000000000004</v>
      </c>
      <c r="L4" t="s">
        <v>18</v>
      </c>
      <c r="M4" s="8">
        <v>12307204</v>
      </c>
    </row>
    <row r="5" spans="1:14">
      <c r="A5" t="s">
        <v>14</v>
      </c>
      <c r="B5" t="s">
        <v>15</v>
      </c>
      <c r="C5" s="6">
        <v>45636</v>
      </c>
      <c r="E5" t="s">
        <v>16</v>
      </c>
      <c r="F5" s="1">
        <v>4.7300000000000004</v>
      </c>
      <c r="G5" s="1" t="s">
        <v>17</v>
      </c>
      <c r="I5" s="4"/>
      <c r="J5" s="10">
        <f>(Table3[[#This Row],[Selling price]]-Table3[[#This Row],[Cost price]])/Table3[[#This Row],[Selling price]]</f>
        <v>1</v>
      </c>
      <c r="K5" s="1">
        <f>Table3[[#This Row],[Selling price]]-Table3[[#This Row],[Cost price]]</f>
        <v>4.7300000000000004</v>
      </c>
      <c r="M5" s="8">
        <v>12307466</v>
      </c>
    </row>
    <row r="6" spans="1:14">
      <c r="A6" t="s">
        <v>14</v>
      </c>
      <c r="B6" t="s">
        <v>15</v>
      </c>
      <c r="C6" s="6">
        <v>45636</v>
      </c>
      <c r="E6" t="s">
        <v>16</v>
      </c>
      <c r="F6" s="1">
        <v>4.7300000000000004</v>
      </c>
      <c r="G6" s="1" t="s">
        <v>17</v>
      </c>
      <c r="I6" s="4"/>
      <c r="J6" s="10">
        <f>(Table3[[#This Row],[Selling price]]-Table3[[#This Row],[Cost price]])/Table3[[#This Row],[Selling price]]</f>
        <v>1</v>
      </c>
      <c r="K6" s="1">
        <f>Table3[[#This Row],[Selling price]]-Table3[[#This Row],[Cost price]]</f>
        <v>4.7300000000000004</v>
      </c>
      <c r="M6" s="8">
        <v>12307367</v>
      </c>
    </row>
    <row r="7" spans="1:14">
      <c r="A7" t="s">
        <v>14</v>
      </c>
      <c r="B7" t="s">
        <v>15</v>
      </c>
      <c r="C7" s="9" t="s">
        <v>19</v>
      </c>
      <c r="E7" t="s">
        <v>20</v>
      </c>
      <c r="F7" s="3">
        <v>365.4</v>
      </c>
      <c r="G7" s="1" t="s">
        <v>17</v>
      </c>
      <c r="H7" t="s">
        <v>21</v>
      </c>
      <c r="I7" s="4"/>
      <c r="J7" s="2">
        <f>(Table3[[#This Row],[Selling price]]-Table3[[#This Row],[Cost price]])/Table3[[#This Row],[Selling price]]</f>
        <v>1</v>
      </c>
      <c r="K7" s="1">
        <f>Table3[[#This Row],[Selling price]]-Table3[[#This Row],[Cost price]]</f>
        <v>365.4</v>
      </c>
      <c r="L7" t="s">
        <v>18</v>
      </c>
      <c r="M7" s="8">
        <v>12454777</v>
      </c>
    </row>
    <row r="8" spans="1:14">
      <c r="A8" t="s">
        <v>14</v>
      </c>
      <c r="B8" t="s">
        <v>15</v>
      </c>
      <c r="C8" s="9" t="s">
        <v>19</v>
      </c>
      <c r="E8" t="s">
        <v>22</v>
      </c>
      <c r="F8" s="3">
        <v>93.15</v>
      </c>
      <c r="G8" s="1" t="s">
        <v>17</v>
      </c>
      <c r="H8" t="s">
        <v>21</v>
      </c>
      <c r="I8" s="4"/>
      <c r="J8" s="2">
        <f>(Table3[[#This Row],[Selling price]]-Table3[[#This Row],[Cost price]])/Table3[[#This Row],[Selling price]]</f>
        <v>1</v>
      </c>
      <c r="K8" s="1">
        <f>Table3[[#This Row],[Selling price]]-Table3[[#This Row],[Cost price]]</f>
        <v>93.15</v>
      </c>
      <c r="L8" t="s">
        <v>23</v>
      </c>
      <c r="M8" s="8">
        <v>12450632</v>
      </c>
    </row>
    <row r="9" spans="1:14">
      <c r="A9" t="s">
        <v>14</v>
      </c>
      <c r="B9" t="s">
        <v>15</v>
      </c>
      <c r="C9" s="9" t="s">
        <v>24</v>
      </c>
      <c r="E9" t="s">
        <v>25</v>
      </c>
      <c r="F9" s="3">
        <v>425.25</v>
      </c>
      <c r="G9" s="1" t="s">
        <v>17</v>
      </c>
      <c r="H9" t="s">
        <v>21</v>
      </c>
      <c r="I9" s="4"/>
      <c r="J9" s="2">
        <f>(Table3[[#This Row],[Selling price]]-Table3[[#This Row],[Cost price]])/Table3[[#This Row],[Selling price]]</f>
        <v>1</v>
      </c>
      <c r="K9" s="1">
        <f>Table3[[#This Row],[Selling price]]-Table3[[#This Row],[Cost price]]</f>
        <v>425.25</v>
      </c>
      <c r="L9" t="s">
        <v>26</v>
      </c>
      <c r="M9" s="8">
        <v>12461954</v>
      </c>
    </row>
    <row r="10" spans="1:14">
      <c r="A10" t="s">
        <v>14</v>
      </c>
      <c r="B10" t="s">
        <v>15</v>
      </c>
      <c r="C10" s="9" t="s">
        <v>27</v>
      </c>
      <c r="E10" t="s">
        <v>28</v>
      </c>
      <c r="F10" s="3">
        <v>14</v>
      </c>
      <c r="G10" s="1" t="s">
        <v>17</v>
      </c>
      <c r="H10" t="s">
        <v>28</v>
      </c>
      <c r="I10" s="4"/>
      <c r="J10" s="2"/>
      <c r="K10" s="1">
        <f>Table3[[#This Row],[Selling price]]-Table3[[#This Row],[Cost price]]</f>
        <v>14</v>
      </c>
      <c r="L10" t="s">
        <v>26</v>
      </c>
      <c r="M10" s="8">
        <v>12483225</v>
      </c>
    </row>
    <row r="11" spans="1:14">
      <c r="A11" t="s">
        <v>14</v>
      </c>
      <c r="B11" t="s">
        <v>15</v>
      </c>
      <c r="C11" s="9" t="s">
        <v>27</v>
      </c>
      <c r="E11" t="s">
        <v>29</v>
      </c>
      <c r="F11" s="3">
        <v>55.125</v>
      </c>
      <c r="G11" s="1" t="s">
        <v>17</v>
      </c>
      <c r="H11" t="s">
        <v>21</v>
      </c>
      <c r="I11" s="4"/>
      <c r="J11" s="2"/>
      <c r="K11" s="1">
        <f>Table3[[#This Row],[Selling price]]-Table3[[#This Row],[Cost price]]</f>
        <v>55.125</v>
      </c>
      <c r="L11" t="s">
        <v>26</v>
      </c>
      <c r="M11" s="8">
        <v>12482912</v>
      </c>
    </row>
    <row r="12" spans="1:14">
      <c r="A12" t="s">
        <v>14</v>
      </c>
      <c r="B12" t="s">
        <v>15</v>
      </c>
      <c r="C12" s="6" t="s">
        <v>27</v>
      </c>
      <c r="E12" t="s">
        <v>30</v>
      </c>
      <c r="F12" s="3">
        <v>46.75</v>
      </c>
      <c r="G12" s="1" t="s">
        <v>31</v>
      </c>
      <c r="H12" t="s">
        <v>32</v>
      </c>
      <c r="I12" s="4"/>
      <c r="J12" s="2"/>
      <c r="K12" s="1">
        <f>Table3[[#This Row],[Selling price]]-Table3[[#This Row],[Cost price]]</f>
        <v>46.75</v>
      </c>
      <c r="L12" t="s">
        <v>26</v>
      </c>
      <c r="M12" s="8">
        <v>12480675</v>
      </c>
    </row>
    <row r="13" spans="1:14">
      <c r="A13" t="s">
        <v>14</v>
      </c>
      <c r="B13" t="s">
        <v>15</v>
      </c>
      <c r="C13" s="6" t="s">
        <v>27</v>
      </c>
      <c r="E13" t="s">
        <v>33</v>
      </c>
      <c r="F13" s="3">
        <v>416.5</v>
      </c>
      <c r="G13" s="1" t="s">
        <v>17</v>
      </c>
      <c r="H13" t="s">
        <v>34</v>
      </c>
      <c r="I13" s="4"/>
      <c r="J13" s="2"/>
      <c r="K13" s="1">
        <f>Table3[[#This Row],[Selling price]]-Table3[[#This Row],[Cost price]]</f>
        <v>416.5</v>
      </c>
      <c r="L13" t="s">
        <v>26</v>
      </c>
      <c r="M13" s="8">
        <v>12479785</v>
      </c>
    </row>
    <row r="14" spans="1:14">
      <c r="A14" t="s">
        <v>14</v>
      </c>
      <c r="B14" t="s">
        <v>15</v>
      </c>
      <c r="C14" s="9" t="s">
        <v>27</v>
      </c>
      <c r="E14" t="s">
        <v>28</v>
      </c>
      <c r="F14" s="3">
        <v>39.85</v>
      </c>
      <c r="G14" s="1" t="s">
        <v>17</v>
      </c>
      <c r="H14" t="s">
        <v>28</v>
      </c>
      <c r="I14" s="4"/>
      <c r="J14" s="10"/>
      <c r="K14" s="1">
        <f>Table3[[#This Row],[Selling price]]-Table3[[#This Row],[Cost price]]</f>
        <v>39.85</v>
      </c>
      <c r="L14" t="s">
        <v>26</v>
      </c>
      <c r="M14" s="8">
        <v>12468902</v>
      </c>
    </row>
    <row r="15" spans="1:14">
      <c r="D15" s="20"/>
      <c r="G15" s="3"/>
      <c r="J15" s="10"/>
      <c r="K15" s="7"/>
    </row>
    <row r="16" spans="1:14">
      <c r="A16" s="11" t="s">
        <v>35</v>
      </c>
      <c r="B16" s="11"/>
      <c r="C16" s="11"/>
      <c r="D16" s="11"/>
      <c r="E16" s="11"/>
      <c r="F16" s="12">
        <f>SUBTOTAL(109,Table3[Selling price])</f>
        <v>1490.6949999999999</v>
      </c>
      <c r="G16" s="12"/>
      <c r="H16" s="11"/>
      <c r="I16" s="12"/>
      <c r="J16" s="13">
        <f>SUBTOTAL(101,Table3[[Margin ]])</f>
        <v>0.94714587737843559</v>
      </c>
      <c r="K16" s="12">
        <f>SUBTOTAL(109,Table3[[Profit ]])</f>
        <v>1488.6949999999999</v>
      </c>
      <c r="L16" s="11"/>
      <c r="M16" s="11"/>
      <c r="N16" s="11"/>
    </row>
    <row r="17" spans="6:6">
      <c r="F17" s="7"/>
    </row>
  </sheetData>
  <phoneticPr fontId="2" type="noConversion"/>
  <hyperlinks>
    <hyperlink ref="M2" r:id="rId1" display="https://hub.floward.io/order/12307504" xr:uid="{54F76DCF-8EA6-47FC-88D2-98DAE8C81C7E}"/>
    <hyperlink ref="M3" r:id="rId2" display="https://hub.floward.io/order/12307437" xr:uid="{01732A78-F1CE-4189-AE25-BD3990C9AF9C}"/>
    <hyperlink ref="M4" r:id="rId3" display="https://hub.floward.io/order/12307204" xr:uid="{0AAC0166-77AE-40AA-BB6D-86A3D0F3AA91}"/>
    <hyperlink ref="M7" r:id="rId4" display="https://hub.floward.io/order/12454777" xr:uid="{5D562FD4-CFE4-4A93-AF18-78EA3C042D88}"/>
    <hyperlink ref="M8" r:id="rId5" display="https://hub.floward.io/order/12450632" xr:uid="{3AD625AF-A889-4DE7-8254-9EF39C8C44FE}"/>
    <hyperlink ref="M9" r:id="rId6" display="https://hub.floward.io/order/12461954" xr:uid="{5D53D53A-54DA-4E15-9115-D5CD465DF8F9}"/>
    <hyperlink ref="M10" r:id="rId7" display="https://hub.floward.io/order/12483225" xr:uid="{2E918F77-D865-4E11-82D0-A4F5E0059312}"/>
    <hyperlink ref="M11" r:id="rId8" display="https://hub.floward.io/order/12482912" xr:uid="{D47018AB-0344-41AC-A5B7-BE11AE7B9860}"/>
    <hyperlink ref="M12" r:id="rId9" display="https://hub.floward.io/order/12480675" xr:uid="{AB3236BF-8CFB-4BA6-B238-C7BBE1E20033}"/>
    <hyperlink ref="M13" r:id="rId10" display="https://hub.floward.io/order/12479785" xr:uid="{9E54806D-B022-4FCB-A782-F1DF163CFBE5}"/>
    <hyperlink ref="M14" r:id="rId11" display="https://hub.floward.io/order/12468902" xr:uid="{F9480148-E122-4E6B-ACFB-46D8BE764F90}"/>
    <hyperlink ref="M5" r:id="rId12" display="https://hub.floward.io/order/12307466" xr:uid="{5D521294-B938-4B42-897E-07532DB37433}"/>
    <hyperlink ref="M6" r:id="rId13" display="https://hub.floward.io/order/12307367" xr:uid="{B550E216-5638-4B12-B2DF-A730B1AF25B3}"/>
  </hyperlinks>
  <pageMargins left="0.7" right="0.7" top="0.75" bottom="0.75" header="0.3" footer="0.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97FA-0CAE-4C46-A84A-C3EC751B608A}">
  <dimension ref="A3:F9"/>
  <sheetViews>
    <sheetView workbookViewId="0">
      <selection activeCell="E7" sqref="E7"/>
    </sheetView>
  </sheetViews>
  <sheetFormatPr defaultRowHeight="14.4"/>
  <cols>
    <col min="1" max="1" width="17.44140625" bestFit="1" customWidth="1"/>
    <col min="2" max="2" width="15.5546875" bestFit="1" customWidth="1"/>
    <col min="3" max="4" width="7.88671875" bestFit="1" customWidth="1"/>
    <col min="5" max="5" width="5.109375" bestFit="1" customWidth="1"/>
    <col min="6" max="6" width="10.44140625" bestFit="1" customWidth="1"/>
  </cols>
  <sheetData>
    <row r="3" spans="1:6">
      <c r="A3" s="90" t="s">
        <v>36</v>
      </c>
      <c r="B3" s="90" t="s">
        <v>37</v>
      </c>
    </row>
    <row r="4" spans="1:6">
      <c r="A4" s="90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</row>
    <row r="5" spans="1:6">
      <c r="A5" s="20" t="s">
        <v>44</v>
      </c>
      <c r="C5">
        <v>103.245</v>
      </c>
      <c r="F5">
        <v>103.245</v>
      </c>
    </row>
    <row r="6" spans="1:6">
      <c r="A6" s="20" t="s">
        <v>21</v>
      </c>
      <c r="C6">
        <v>440</v>
      </c>
      <c r="D6">
        <v>336.17499999999995</v>
      </c>
      <c r="F6">
        <v>776.17499999999995</v>
      </c>
    </row>
    <row r="7" spans="1:6">
      <c r="A7" s="20" t="s">
        <v>45</v>
      </c>
      <c r="B7">
        <v>7639.125</v>
      </c>
      <c r="C7">
        <v>246.45</v>
      </c>
      <c r="D7">
        <v>127.35</v>
      </c>
      <c r="F7">
        <v>8012.9250000000002</v>
      </c>
    </row>
    <row r="8" spans="1:6">
      <c r="A8" s="20" t="s">
        <v>46</v>
      </c>
    </row>
    <row r="9" spans="1:6">
      <c r="A9" s="20" t="s">
        <v>43</v>
      </c>
      <c r="B9">
        <v>7639.125</v>
      </c>
      <c r="C9">
        <v>789.69499999999994</v>
      </c>
      <c r="D9">
        <v>463.52499999999998</v>
      </c>
      <c r="F9">
        <v>8892.3449999999993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8345-D824-43F8-8F7C-624A409AC645}">
  <dimension ref="A1:P42"/>
  <sheetViews>
    <sheetView topLeftCell="D1" workbookViewId="0">
      <selection activeCell="O2" sqref="O2"/>
    </sheetView>
  </sheetViews>
  <sheetFormatPr defaultRowHeight="14.4"/>
  <cols>
    <col min="1" max="1" width="9.33203125" customWidth="1"/>
    <col min="2" max="2" width="11.6640625" customWidth="1"/>
    <col min="3" max="3" width="14.109375" customWidth="1"/>
    <col min="4" max="4" width="12.109375" customWidth="1"/>
    <col min="5" max="5" width="22.88671875" customWidth="1"/>
    <col min="6" max="6" width="14.44140625" customWidth="1"/>
    <col min="7" max="7" width="13.33203125" customWidth="1"/>
    <col min="8" max="8" width="21" customWidth="1"/>
    <col min="9" max="9" width="15.33203125" customWidth="1"/>
    <col min="10" max="10" width="14.44140625" customWidth="1"/>
    <col min="11" max="11" width="11.109375" customWidth="1"/>
    <col min="12" max="12" width="13" customWidth="1"/>
    <col min="13" max="13" width="11.5546875" customWidth="1"/>
    <col min="14" max="14" width="33.109375" customWidth="1"/>
    <col min="15" max="15" width="15.33203125" customWidth="1"/>
    <col min="16" max="16" width="26.33203125" customWidth="1"/>
  </cols>
  <sheetData>
    <row r="1" spans="1:16">
      <c r="A1" t="s">
        <v>0</v>
      </c>
      <c r="B1" t="s">
        <v>1</v>
      </c>
      <c r="C1" s="22" t="s">
        <v>2</v>
      </c>
      <c r="D1" t="s">
        <v>3</v>
      </c>
      <c r="E1" t="s">
        <v>4</v>
      </c>
      <c r="F1" t="s">
        <v>5</v>
      </c>
      <c r="G1" t="s">
        <v>47</v>
      </c>
      <c r="H1" t="s">
        <v>6</v>
      </c>
      <c r="I1" t="s">
        <v>7</v>
      </c>
      <c r="J1" t="s">
        <v>8</v>
      </c>
      <c r="K1" s="2" t="s">
        <v>9</v>
      </c>
      <c r="L1" s="2" t="s">
        <v>10</v>
      </c>
      <c r="M1" t="s">
        <v>11</v>
      </c>
      <c r="N1" t="s">
        <v>48</v>
      </c>
      <c r="O1" t="s">
        <v>12</v>
      </c>
      <c r="P1" t="s">
        <v>13</v>
      </c>
    </row>
    <row r="2" spans="1:16">
      <c r="A2" t="s">
        <v>49</v>
      </c>
      <c r="B2" t="s">
        <v>15</v>
      </c>
      <c r="C2" s="22">
        <v>45691</v>
      </c>
      <c r="D2" s="47" t="str">
        <f>VLOOKUP(Table323[[#This Row],[Order Date]],'Calendars '!A1:C368,2,)</f>
        <v>W6</v>
      </c>
      <c r="E2" s="96" t="s">
        <v>50</v>
      </c>
      <c r="F2" s="15">
        <v>249</v>
      </c>
      <c r="G2" s="15" t="s">
        <v>21</v>
      </c>
      <c r="H2" s="1" t="s">
        <v>51</v>
      </c>
      <c r="I2" t="s">
        <v>52</v>
      </c>
      <c r="J2" s="4"/>
      <c r="K2" s="10"/>
      <c r="L2" s="7"/>
      <c r="M2" t="s">
        <v>26</v>
      </c>
      <c r="N2" t="s">
        <v>53</v>
      </c>
      <c r="O2" s="18">
        <v>12893257</v>
      </c>
      <c r="P2" t="s">
        <v>54</v>
      </c>
    </row>
    <row r="3" spans="1:16">
      <c r="A3" t="s">
        <v>49</v>
      </c>
      <c r="B3" t="s">
        <v>15</v>
      </c>
      <c r="C3" s="22">
        <v>45695</v>
      </c>
      <c r="D3" t="str">
        <f>VLOOKUP(Table323[[#This Row],[Order Date]],'Calendars '!A2:C369,2,)</f>
        <v>W6</v>
      </c>
      <c r="E3" s="96" t="s">
        <v>55</v>
      </c>
      <c r="F3" s="15">
        <v>263.55</v>
      </c>
      <c r="G3" s="15" t="s">
        <v>21</v>
      </c>
      <c r="H3" s="1" t="s">
        <v>51</v>
      </c>
      <c r="I3" t="s">
        <v>56</v>
      </c>
      <c r="J3" s="4"/>
      <c r="K3" s="10"/>
      <c r="L3" s="7"/>
      <c r="M3" t="s">
        <v>23</v>
      </c>
      <c r="N3" t="s">
        <v>53</v>
      </c>
      <c r="O3" s="18">
        <v>12976808</v>
      </c>
      <c r="P3" t="s">
        <v>56</v>
      </c>
    </row>
    <row r="4" spans="1:16">
      <c r="A4" t="s">
        <v>49</v>
      </c>
      <c r="B4" t="s">
        <v>15</v>
      </c>
      <c r="C4" s="22">
        <v>45695</v>
      </c>
      <c r="D4" t="str">
        <f>VLOOKUP(Table323[[#This Row],[Order Date]],'Calendars '!A3:C370,2,)</f>
        <v>W6</v>
      </c>
      <c r="E4" s="96" t="s">
        <v>57</v>
      </c>
      <c r="F4" s="15">
        <v>861</v>
      </c>
      <c r="G4" s="15" t="s">
        <v>21</v>
      </c>
      <c r="H4" s="1" t="s">
        <v>58</v>
      </c>
      <c r="I4" t="s">
        <v>21</v>
      </c>
      <c r="J4" s="4"/>
      <c r="K4" s="10"/>
      <c r="L4" s="7"/>
      <c r="O4" s="18">
        <v>13233795</v>
      </c>
    </row>
    <row r="5" spans="1:16">
      <c r="A5" t="s">
        <v>49</v>
      </c>
      <c r="B5" t="s">
        <v>15</v>
      </c>
      <c r="C5" s="22">
        <v>45697</v>
      </c>
      <c r="D5" t="str">
        <f>VLOOKUP(Table323[[#This Row],[Order Date]],'Calendars '!A4:C371,2,)</f>
        <v>W7</v>
      </c>
      <c r="E5" t="s">
        <v>59</v>
      </c>
      <c r="F5" s="15">
        <v>44</v>
      </c>
      <c r="G5" s="15" t="s">
        <v>60</v>
      </c>
      <c r="H5" s="1" t="s">
        <v>58</v>
      </c>
      <c r="I5" t="s">
        <v>52</v>
      </c>
      <c r="J5" s="4"/>
      <c r="K5" s="10"/>
      <c r="L5" s="7"/>
      <c r="N5" t="s">
        <v>53</v>
      </c>
      <c r="O5" s="18">
        <v>12971516</v>
      </c>
    </row>
    <row r="6" spans="1:16">
      <c r="A6" t="s">
        <v>49</v>
      </c>
      <c r="B6" t="s">
        <v>15</v>
      </c>
      <c r="C6" s="22">
        <v>45697</v>
      </c>
      <c r="D6" t="str">
        <f>VLOOKUP(Table323[[#This Row],[Order Date]],'Calendars '!A8:C375,2,)</f>
        <v>W7</v>
      </c>
      <c r="E6" t="s">
        <v>61</v>
      </c>
      <c r="F6" s="15">
        <v>20.25</v>
      </c>
      <c r="G6" s="15" t="s">
        <v>21</v>
      </c>
      <c r="H6" s="1" t="s">
        <v>51</v>
      </c>
      <c r="I6" t="s">
        <v>21</v>
      </c>
      <c r="J6" s="4"/>
      <c r="K6" s="10"/>
      <c r="L6" s="7"/>
      <c r="N6" t="s">
        <v>53</v>
      </c>
      <c r="O6" s="18">
        <v>12977256</v>
      </c>
    </row>
    <row r="7" spans="1:16">
      <c r="A7" t="s">
        <v>49</v>
      </c>
      <c r="B7" t="s">
        <v>15</v>
      </c>
      <c r="C7" s="22">
        <v>45698</v>
      </c>
      <c r="D7" t="str">
        <f>VLOOKUP(Table323[[#This Row],[Order Date]],'Calendars '!A5:C372,2,)</f>
        <v>W7</v>
      </c>
      <c r="E7" s="96" t="s">
        <v>62</v>
      </c>
      <c r="F7" s="15">
        <v>156</v>
      </c>
      <c r="G7" s="15" t="s">
        <v>21</v>
      </c>
      <c r="H7" s="1" t="s">
        <v>51</v>
      </c>
      <c r="I7" t="s">
        <v>63</v>
      </c>
      <c r="J7" s="4"/>
      <c r="K7" s="10"/>
      <c r="L7" s="7"/>
      <c r="M7" t="s">
        <v>26</v>
      </c>
      <c r="N7" t="s">
        <v>53</v>
      </c>
      <c r="O7" s="18">
        <v>12988636</v>
      </c>
    </row>
    <row r="8" spans="1:16">
      <c r="A8" t="s">
        <v>49</v>
      </c>
      <c r="B8" t="s">
        <v>15</v>
      </c>
      <c r="C8" s="22">
        <v>45698</v>
      </c>
      <c r="D8" t="str">
        <f>VLOOKUP(Table323[[#This Row],[Order Date]],'Calendars '!A6:C373,2,)</f>
        <v>W7</v>
      </c>
      <c r="E8" t="s">
        <v>64</v>
      </c>
      <c r="F8" s="15">
        <v>14</v>
      </c>
      <c r="G8" s="15" t="s">
        <v>44</v>
      </c>
      <c r="H8" s="1" t="s">
        <v>51</v>
      </c>
      <c r="I8" t="s">
        <v>44</v>
      </c>
      <c r="J8" s="4"/>
      <c r="K8" s="10"/>
      <c r="L8" s="7"/>
      <c r="N8" t="s">
        <v>53</v>
      </c>
      <c r="O8" s="18">
        <v>12990364</v>
      </c>
    </row>
    <row r="9" spans="1:16">
      <c r="A9" t="s">
        <v>49</v>
      </c>
      <c r="B9" t="s">
        <v>15</v>
      </c>
      <c r="C9" s="22">
        <v>45699</v>
      </c>
      <c r="D9" t="str">
        <f>VLOOKUP(Table323[[#This Row],[Order Date]],'Calendars '!A7:C374,2,)</f>
        <v>W7</v>
      </c>
      <c r="E9" t="s">
        <v>28</v>
      </c>
      <c r="F9" s="15">
        <v>9</v>
      </c>
      <c r="G9" t="s">
        <v>28</v>
      </c>
      <c r="H9" s="1" t="s">
        <v>51</v>
      </c>
      <c r="J9" s="4"/>
      <c r="K9" s="10"/>
      <c r="L9" s="7"/>
      <c r="M9" t="s">
        <v>26</v>
      </c>
      <c r="N9" t="s">
        <v>53</v>
      </c>
      <c r="O9" s="18">
        <v>13003431</v>
      </c>
    </row>
    <row r="10" spans="1:16">
      <c r="A10" t="s">
        <v>49</v>
      </c>
      <c r="B10" t="s">
        <v>15</v>
      </c>
      <c r="C10" s="22">
        <v>45700</v>
      </c>
      <c r="D10" t="str">
        <f>VLOOKUP(Table323[[#This Row],[Order Date]],'Calendars '!A9:C376,2,)</f>
        <v>W7</v>
      </c>
      <c r="E10" s="97" t="s">
        <v>65</v>
      </c>
      <c r="F10" s="15">
        <v>60</v>
      </c>
      <c r="G10" s="15" t="s">
        <v>21</v>
      </c>
      <c r="H10" s="1" t="s">
        <v>51</v>
      </c>
      <c r="I10" t="s">
        <v>21</v>
      </c>
      <c r="J10" s="4"/>
      <c r="K10" s="10"/>
      <c r="L10" s="7"/>
      <c r="M10" t="s">
        <v>26</v>
      </c>
      <c r="N10" t="s">
        <v>53</v>
      </c>
      <c r="O10" s="18">
        <v>13019652</v>
      </c>
    </row>
    <row r="11" spans="1:16">
      <c r="A11" t="s">
        <v>49</v>
      </c>
      <c r="B11" t="s">
        <v>15</v>
      </c>
      <c r="C11" s="22">
        <v>45701</v>
      </c>
      <c r="D11" t="str">
        <f>VLOOKUP(Table323[[#This Row],[Order Date]],'Calendars '!A10:C377,2,)</f>
        <v>W7</v>
      </c>
      <c r="E11" t="s">
        <v>28</v>
      </c>
      <c r="F11" s="104">
        <v>20.6</v>
      </c>
      <c r="G11" t="s">
        <v>28</v>
      </c>
      <c r="H11" t="s">
        <v>28</v>
      </c>
      <c r="I11" t="s">
        <v>66</v>
      </c>
      <c r="J11" s="4"/>
      <c r="K11" s="10"/>
      <c r="L11" s="7"/>
      <c r="M11" t="s">
        <v>26</v>
      </c>
      <c r="N11" t="s">
        <v>53</v>
      </c>
      <c r="O11" s="18">
        <v>13039241</v>
      </c>
    </row>
    <row r="12" spans="1:16" ht="15.6">
      <c r="A12" t="s">
        <v>49</v>
      </c>
      <c r="B12" t="s">
        <v>15</v>
      </c>
      <c r="C12" s="22">
        <v>45702</v>
      </c>
      <c r="D12" t="str">
        <f>VLOOKUP(Table323[[#This Row],[Order Date]],'Calendars '!A11:C378,2,)</f>
        <v>W7</v>
      </c>
      <c r="E12" t="s">
        <v>67</v>
      </c>
      <c r="F12" s="102">
        <v>60</v>
      </c>
      <c r="G12" t="s">
        <v>28</v>
      </c>
      <c r="H12" t="s">
        <v>28</v>
      </c>
      <c r="I12" t="s">
        <v>66</v>
      </c>
      <c r="J12" s="4"/>
      <c r="K12" s="10"/>
      <c r="L12" s="7"/>
      <c r="M12" t="s">
        <v>26</v>
      </c>
      <c r="N12" t="s">
        <v>53</v>
      </c>
      <c r="O12" s="98">
        <v>13165239</v>
      </c>
    </row>
    <row r="13" spans="1:16" ht="15.6">
      <c r="A13" t="s">
        <v>49</v>
      </c>
      <c r="B13" t="s">
        <v>15</v>
      </c>
      <c r="C13" s="22">
        <v>45705</v>
      </c>
      <c r="D13" t="str">
        <f>VLOOKUP(Table323[[#This Row],[Order Date]],'Calendars '!A12:C379,2,)</f>
        <v>W8</v>
      </c>
      <c r="E13" t="s">
        <v>67</v>
      </c>
      <c r="F13" s="102">
        <v>25</v>
      </c>
      <c r="G13" t="s">
        <v>28</v>
      </c>
      <c r="H13" t="s">
        <v>28</v>
      </c>
      <c r="I13" t="s">
        <v>66</v>
      </c>
      <c r="J13" s="4"/>
      <c r="K13" s="10"/>
      <c r="L13" s="7"/>
      <c r="M13" t="s">
        <v>26</v>
      </c>
      <c r="N13" t="s">
        <v>53</v>
      </c>
      <c r="O13" s="98" t="s">
        <v>68</v>
      </c>
    </row>
    <row r="14" spans="1:16" ht="15.6">
      <c r="A14" t="s">
        <v>49</v>
      </c>
      <c r="B14" t="s">
        <v>15</v>
      </c>
      <c r="C14" s="22">
        <v>45705</v>
      </c>
      <c r="D14" t="str">
        <f>VLOOKUP(Table323[[#This Row],[Order Date]],'Calendars '!A13:C380,2,)</f>
        <v>W8</v>
      </c>
      <c r="E14" t="s">
        <v>67</v>
      </c>
      <c r="F14" s="102">
        <v>102.5</v>
      </c>
      <c r="G14" t="s">
        <v>28</v>
      </c>
      <c r="H14" t="s">
        <v>28</v>
      </c>
      <c r="I14" t="s">
        <v>66</v>
      </c>
      <c r="J14" s="4"/>
      <c r="K14" s="10"/>
      <c r="L14" s="7"/>
      <c r="M14" t="s">
        <v>26</v>
      </c>
      <c r="N14" t="s">
        <v>53</v>
      </c>
      <c r="O14" s="98" t="s">
        <v>69</v>
      </c>
    </row>
    <row r="15" spans="1:16" ht="15.6">
      <c r="A15" t="s">
        <v>49</v>
      </c>
      <c r="B15" t="s">
        <v>15</v>
      </c>
      <c r="C15" s="22">
        <v>45705</v>
      </c>
      <c r="D15" t="str">
        <f>VLOOKUP(Table323[[#This Row],[Order Date]],'Calendars '!A14:C381,2,)</f>
        <v>W8</v>
      </c>
      <c r="E15" t="s">
        <v>67</v>
      </c>
      <c r="F15" s="102">
        <v>37</v>
      </c>
      <c r="G15" t="s">
        <v>28</v>
      </c>
      <c r="H15" t="s">
        <v>28</v>
      </c>
      <c r="I15" t="s">
        <v>66</v>
      </c>
      <c r="J15" s="4"/>
      <c r="K15" s="10"/>
      <c r="L15" s="7"/>
      <c r="M15" t="s">
        <v>26</v>
      </c>
      <c r="N15" t="s">
        <v>53</v>
      </c>
      <c r="O15" s="98" t="s">
        <v>70</v>
      </c>
    </row>
    <row r="16" spans="1:16" ht="15.6">
      <c r="A16" t="s">
        <v>49</v>
      </c>
      <c r="B16" t="s">
        <v>15</v>
      </c>
      <c r="C16" s="22">
        <v>45705</v>
      </c>
      <c r="D16" t="str">
        <f>VLOOKUP(Table323[[#This Row],[Order Date]],'Calendars '!A15:C382,2,)</f>
        <v>W8</v>
      </c>
      <c r="E16" t="s">
        <v>67</v>
      </c>
      <c r="F16" s="102">
        <v>107</v>
      </c>
      <c r="G16" t="s">
        <v>28</v>
      </c>
      <c r="H16" t="s">
        <v>28</v>
      </c>
      <c r="I16" t="s">
        <v>66</v>
      </c>
      <c r="J16" s="4"/>
      <c r="K16" s="10"/>
      <c r="L16" s="7"/>
      <c r="M16" t="s">
        <v>26</v>
      </c>
      <c r="N16" t="s">
        <v>53</v>
      </c>
      <c r="O16" s="98">
        <v>13165598</v>
      </c>
    </row>
    <row r="17" spans="1:15" ht="15.6">
      <c r="A17" t="s">
        <v>49</v>
      </c>
      <c r="B17" t="s">
        <v>15</v>
      </c>
      <c r="C17" s="22">
        <v>45705</v>
      </c>
      <c r="D17" t="str">
        <f>VLOOKUP(Table323[[#This Row],[Order Date]],'Calendars '!A16:C383,2,)</f>
        <v>W8</v>
      </c>
      <c r="E17" t="s">
        <v>67</v>
      </c>
      <c r="F17" s="102">
        <v>82.5</v>
      </c>
      <c r="G17" t="s">
        <v>28</v>
      </c>
      <c r="H17" t="s">
        <v>28</v>
      </c>
      <c r="I17" t="s">
        <v>66</v>
      </c>
      <c r="J17" s="4"/>
      <c r="K17" s="10"/>
      <c r="L17" s="7"/>
      <c r="M17" t="s">
        <v>26</v>
      </c>
      <c r="N17" t="s">
        <v>53</v>
      </c>
      <c r="O17" s="98">
        <v>13165624</v>
      </c>
    </row>
    <row r="18" spans="1:15" ht="15.6">
      <c r="A18" t="s">
        <v>49</v>
      </c>
      <c r="B18" t="s">
        <v>15</v>
      </c>
      <c r="C18" s="22">
        <v>45705</v>
      </c>
      <c r="D18" s="47" t="str">
        <f>VLOOKUP(Table323[[#This Row],[Order Date]],'Calendars '!A17:C384,2,)</f>
        <v>W8</v>
      </c>
      <c r="E18" t="s">
        <v>67</v>
      </c>
      <c r="F18" s="102">
        <v>15</v>
      </c>
      <c r="G18" t="s">
        <v>28</v>
      </c>
      <c r="H18" t="s">
        <v>28</v>
      </c>
      <c r="I18" t="s">
        <v>66</v>
      </c>
      <c r="J18" s="4"/>
      <c r="K18" s="10"/>
      <c r="L18" s="7"/>
      <c r="M18" t="s">
        <v>26</v>
      </c>
      <c r="N18" t="s">
        <v>53</v>
      </c>
      <c r="O18" s="98">
        <v>13167174</v>
      </c>
    </row>
    <row r="19" spans="1:15" ht="15.6">
      <c r="A19" t="s">
        <v>49</v>
      </c>
      <c r="B19" t="s">
        <v>15</v>
      </c>
      <c r="C19" s="22">
        <v>45705</v>
      </c>
      <c r="D19" s="47" t="str">
        <f>VLOOKUP(Table323[[#This Row],[Order Date]],'Calendars '!A17:C384,2,)</f>
        <v>W8</v>
      </c>
      <c r="E19" t="s">
        <v>67</v>
      </c>
      <c r="F19" s="102">
        <v>19</v>
      </c>
      <c r="G19" t="s">
        <v>28</v>
      </c>
      <c r="H19" t="s">
        <v>28</v>
      </c>
      <c r="I19" t="s">
        <v>66</v>
      </c>
      <c r="J19" s="4"/>
      <c r="K19" s="10"/>
      <c r="L19" s="7"/>
      <c r="M19" t="s">
        <v>26</v>
      </c>
      <c r="N19" t="s">
        <v>53</v>
      </c>
      <c r="O19" s="98">
        <v>13165286</v>
      </c>
    </row>
    <row r="20" spans="1:15" ht="15.6">
      <c r="A20" t="s">
        <v>49</v>
      </c>
      <c r="B20" t="s">
        <v>15</v>
      </c>
      <c r="C20" s="22">
        <v>45705</v>
      </c>
      <c r="D20" s="47" t="str">
        <f>VLOOKUP(Table323[[#This Row],[Order Date]],'Calendars '!A17:C384,2,)</f>
        <v>W8</v>
      </c>
      <c r="E20" t="s">
        <v>67</v>
      </c>
      <c r="F20" s="103">
        <v>53</v>
      </c>
      <c r="G20" t="s">
        <v>28</v>
      </c>
      <c r="H20" t="s">
        <v>28</v>
      </c>
      <c r="I20" t="s">
        <v>66</v>
      </c>
      <c r="J20" s="4"/>
      <c r="K20" s="10"/>
      <c r="L20" s="7"/>
      <c r="M20" t="s">
        <v>26</v>
      </c>
      <c r="N20" t="s">
        <v>53</v>
      </c>
      <c r="O20" s="18">
        <v>13172126</v>
      </c>
    </row>
    <row r="21" spans="1:15" ht="15.6">
      <c r="A21" t="s">
        <v>49</v>
      </c>
      <c r="B21" t="s">
        <v>15</v>
      </c>
      <c r="C21" s="22">
        <v>45705</v>
      </c>
      <c r="D21" s="47" t="str">
        <f>VLOOKUP(Table323[[#This Row],[Order Date]],'Calendars '!A17:C384,2,)</f>
        <v>W8</v>
      </c>
      <c r="E21" t="s">
        <v>67</v>
      </c>
      <c r="F21" s="103">
        <v>54</v>
      </c>
      <c r="G21" t="s">
        <v>28</v>
      </c>
      <c r="H21" t="s">
        <v>28</v>
      </c>
      <c r="I21" t="s">
        <v>66</v>
      </c>
      <c r="J21" s="4"/>
      <c r="K21" s="10"/>
      <c r="L21" s="7"/>
      <c r="M21" t="s">
        <v>26</v>
      </c>
      <c r="N21" t="s">
        <v>53</v>
      </c>
      <c r="O21" s="99" t="s">
        <v>71</v>
      </c>
    </row>
    <row r="22" spans="1:15" ht="15.6">
      <c r="A22" t="s">
        <v>49</v>
      </c>
      <c r="B22" t="s">
        <v>15</v>
      </c>
      <c r="C22" s="22">
        <v>45705</v>
      </c>
      <c r="D22" s="47" t="str">
        <f>VLOOKUP(Table323[[#This Row],[Order Date]],'Calendars '!A18:C385,2,)</f>
        <v>W8</v>
      </c>
      <c r="E22" t="s">
        <v>67</v>
      </c>
      <c r="F22" s="103">
        <v>22</v>
      </c>
      <c r="G22" t="s">
        <v>28</v>
      </c>
      <c r="H22" t="s">
        <v>28</v>
      </c>
      <c r="I22" t="s">
        <v>66</v>
      </c>
      <c r="J22" s="4"/>
      <c r="K22" s="10"/>
      <c r="L22" s="7"/>
      <c r="M22" t="s">
        <v>26</v>
      </c>
      <c r="N22" t="s">
        <v>53</v>
      </c>
      <c r="O22" s="98">
        <v>13171652</v>
      </c>
    </row>
    <row r="23" spans="1:15" ht="15.6">
      <c r="A23" t="s">
        <v>49</v>
      </c>
      <c r="B23" t="s">
        <v>15</v>
      </c>
      <c r="C23" s="22">
        <v>45705</v>
      </c>
      <c r="D23" s="47" t="str">
        <f>VLOOKUP(Table323[[#This Row],[Order Date]],'Calendars '!A19:C386,2,)</f>
        <v>W8</v>
      </c>
      <c r="E23" t="s">
        <v>67</v>
      </c>
      <c r="F23" s="103">
        <v>20</v>
      </c>
      <c r="G23" t="s">
        <v>28</v>
      </c>
      <c r="H23" t="s">
        <v>28</v>
      </c>
      <c r="I23" t="s">
        <v>66</v>
      </c>
      <c r="J23" s="4"/>
      <c r="K23" s="10"/>
      <c r="L23" s="7"/>
      <c r="M23" t="s">
        <v>26</v>
      </c>
      <c r="N23" t="s">
        <v>53</v>
      </c>
      <c r="O23" s="100">
        <v>13171732</v>
      </c>
    </row>
    <row r="24" spans="1:15" ht="15.6">
      <c r="A24" t="s">
        <v>49</v>
      </c>
      <c r="B24" t="s">
        <v>15</v>
      </c>
      <c r="C24" s="22">
        <v>45705</v>
      </c>
      <c r="D24" s="47" t="str">
        <f>VLOOKUP(Table323[[#This Row],[Order Date]],'Calendars '!A19:C386,2,)</f>
        <v>W8</v>
      </c>
      <c r="E24" t="s">
        <v>67</v>
      </c>
      <c r="F24" s="103">
        <v>102</v>
      </c>
      <c r="G24" t="s">
        <v>28</v>
      </c>
      <c r="H24" t="s">
        <v>28</v>
      </c>
      <c r="I24" t="s">
        <v>66</v>
      </c>
      <c r="J24" s="4"/>
      <c r="K24" s="10"/>
      <c r="L24" s="7"/>
      <c r="M24" t="s">
        <v>26</v>
      </c>
      <c r="N24" t="s">
        <v>53</v>
      </c>
      <c r="O24" s="98">
        <v>13171779</v>
      </c>
    </row>
    <row r="25" spans="1:15" ht="15.6">
      <c r="A25" t="s">
        <v>49</v>
      </c>
      <c r="B25" t="s">
        <v>15</v>
      </c>
      <c r="C25" s="22">
        <v>45706</v>
      </c>
      <c r="D25" s="47" t="str">
        <f>VLOOKUP(Table323[[#This Row],[Order Date]],'Calendars '!A20:C387,2,)</f>
        <v>W8</v>
      </c>
      <c r="E25" t="s">
        <v>67</v>
      </c>
      <c r="F25" s="102">
        <v>12.05</v>
      </c>
      <c r="G25" t="s">
        <v>28</v>
      </c>
      <c r="H25" t="s">
        <v>28</v>
      </c>
      <c r="I25" t="s">
        <v>66</v>
      </c>
      <c r="J25" s="4"/>
      <c r="K25" s="10"/>
      <c r="L25" s="7"/>
      <c r="M25" t="s">
        <v>26</v>
      </c>
      <c r="N25" t="s">
        <v>53</v>
      </c>
      <c r="O25" s="101">
        <v>13178782</v>
      </c>
    </row>
    <row r="26" spans="1:15">
      <c r="A26" t="s">
        <v>49</v>
      </c>
      <c r="B26" t="s">
        <v>15</v>
      </c>
      <c r="C26" s="22">
        <v>45705</v>
      </c>
      <c r="D26" t="str">
        <f>VLOOKUP(Table323[[#This Row],[Order Date]],'Calendars '!A12:C379,2,)</f>
        <v>W8</v>
      </c>
      <c r="E26" t="s">
        <v>61</v>
      </c>
      <c r="F26" s="15">
        <v>30</v>
      </c>
      <c r="G26" s="15" t="s">
        <v>21</v>
      </c>
      <c r="H26" s="1" t="s">
        <v>51</v>
      </c>
      <c r="I26" t="s">
        <v>21</v>
      </c>
      <c r="J26" s="4"/>
      <c r="K26" s="10"/>
      <c r="L26" s="7"/>
      <c r="N26" t="s">
        <v>53</v>
      </c>
      <c r="O26" s="18">
        <v>13171457</v>
      </c>
    </row>
    <row r="27" spans="1:15">
      <c r="A27" t="s">
        <v>49</v>
      </c>
      <c r="B27" t="s">
        <v>15</v>
      </c>
      <c r="C27" s="22">
        <v>45706</v>
      </c>
      <c r="D27" t="str">
        <f>VLOOKUP(Table323[[#This Row],[Order Date]],'Calendars '!A13:C380,2,)</f>
        <v>W8</v>
      </c>
      <c r="E27" t="s">
        <v>72</v>
      </c>
      <c r="F27" s="15">
        <v>68.25</v>
      </c>
      <c r="G27" s="15" t="s">
        <v>21</v>
      </c>
      <c r="H27" s="1" t="s">
        <v>51</v>
      </c>
      <c r="I27" t="s">
        <v>21</v>
      </c>
      <c r="J27" s="4"/>
      <c r="K27" s="10"/>
      <c r="L27" s="7"/>
      <c r="N27" t="s">
        <v>53</v>
      </c>
      <c r="O27" s="18">
        <v>13177286</v>
      </c>
    </row>
    <row r="28" spans="1:15">
      <c r="A28" t="s">
        <v>49</v>
      </c>
      <c r="B28" t="s">
        <v>15</v>
      </c>
      <c r="C28" s="22">
        <v>45706</v>
      </c>
      <c r="D28" t="str">
        <f>VLOOKUP(Table323[[#This Row],[Order Date]],'Calendars '!A14:C381,2,)</f>
        <v>W8</v>
      </c>
      <c r="E28" t="s">
        <v>73</v>
      </c>
      <c r="F28" s="15">
        <v>210</v>
      </c>
      <c r="G28" s="15" t="s">
        <v>21</v>
      </c>
      <c r="H28" s="1" t="s">
        <v>51</v>
      </c>
      <c r="I28" t="s">
        <v>21</v>
      </c>
      <c r="J28" s="4"/>
      <c r="K28" s="10"/>
      <c r="L28" s="7"/>
      <c r="N28" t="s">
        <v>53</v>
      </c>
      <c r="O28" s="18">
        <v>13177272</v>
      </c>
    </row>
    <row r="29" spans="1:15">
      <c r="A29" t="s">
        <v>49</v>
      </c>
      <c r="B29" t="s">
        <v>15</v>
      </c>
      <c r="C29" s="22">
        <v>45707</v>
      </c>
      <c r="D29" t="str">
        <f>VLOOKUP(Table323[[#This Row],[Order Date]],'Calendars '!A15:C382,2,)</f>
        <v>W8</v>
      </c>
      <c r="E29" t="s">
        <v>74</v>
      </c>
      <c r="F29" s="15">
        <v>142.1</v>
      </c>
      <c r="G29" s="15" t="s">
        <v>21</v>
      </c>
      <c r="H29" s="1" t="s">
        <v>51</v>
      </c>
      <c r="I29" t="s">
        <v>21</v>
      </c>
      <c r="J29" s="4"/>
      <c r="K29" s="10"/>
      <c r="L29" s="7"/>
      <c r="N29" t="s">
        <v>53</v>
      </c>
      <c r="O29" s="18">
        <v>13189756</v>
      </c>
    </row>
    <row r="30" spans="1:15">
      <c r="A30" t="s">
        <v>49</v>
      </c>
      <c r="B30" t="s">
        <v>15</v>
      </c>
      <c r="C30" s="22">
        <v>45708</v>
      </c>
      <c r="D30" t="str">
        <f>VLOOKUP(Table323[[#This Row],[Order Date]],'Calendars '!A16:C383,2,)</f>
        <v>W8</v>
      </c>
      <c r="E30" t="s">
        <v>75</v>
      </c>
      <c r="F30" s="15">
        <v>68.25</v>
      </c>
      <c r="G30" s="15" t="s">
        <v>21</v>
      </c>
      <c r="H30" s="1" t="s">
        <v>51</v>
      </c>
      <c r="I30" t="s">
        <v>21</v>
      </c>
      <c r="J30" s="4"/>
      <c r="K30" s="10"/>
      <c r="L30" s="7"/>
      <c r="N30" t="s">
        <v>53</v>
      </c>
      <c r="O30" s="18">
        <v>13195385</v>
      </c>
    </row>
    <row r="31" spans="1:15">
      <c r="A31" t="s">
        <v>49</v>
      </c>
      <c r="B31" t="s">
        <v>15</v>
      </c>
      <c r="C31" s="22">
        <v>45708</v>
      </c>
      <c r="D31" t="str">
        <f>VLOOKUP(Table323[[#This Row],[Order Date]],'Calendars '!A17:C384,2,)</f>
        <v>W8</v>
      </c>
      <c r="E31" t="s">
        <v>76</v>
      </c>
      <c r="F31" s="15">
        <v>131.25</v>
      </c>
      <c r="G31" s="15" t="s">
        <v>60</v>
      </c>
      <c r="H31" s="1" t="s">
        <v>77</v>
      </c>
      <c r="I31" t="s">
        <v>52</v>
      </c>
      <c r="J31" s="4"/>
      <c r="K31" s="10"/>
      <c r="L31" s="7"/>
      <c r="N31" t="s">
        <v>53</v>
      </c>
      <c r="O31" s="18">
        <v>13195972</v>
      </c>
    </row>
    <row r="32" spans="1:15">
      <c r="A32" t="s">
        <v>49</v>
      </c>
      <c r="B32" t="s">
        <v>15</v>
      </c>
      <c r="C32" s="22">
        <v>45710</v>
      </c>
      <c r="D32" t="str">
        <f>VLOOKUP(Table323[[#This Row],[Order Date]],'Calendars '!A18:C385,2,)</f>
        <v>W8</v>
      </c>
      <c r="E32" t="s">
        <v>28</v>
      </c>
      <c r="F32" s="15">
        <v>139</v>
      </c>
      <c r="G32" t="s">
        <v>28</v>
      </c>
      <c r="H32" s="1" t="s">
        <v>51</v>
      </c>
      <c r="I32" t="s">
        <v>28</v>
      </c>
      <c r="J32" s="4"/>
      <c r="K32" s="10"/>
      <c r="L32" s="7"/>
      <c r="M32" t="s">
        <v>26</v>
      </c>
      <c r="N32" t="s">
        <v>53</v>
      </c>
      <c r="O32" s="21">
        <v>13213446</v>
      </c>
    </row>
    <row r="33" spans="1:16">
      <c r="A33" t="s">
        <v>49</v>
      </c>
      <c r="B33" t="s">
        <v>15</v>
      </c>
      <c r="C33" s="22">
        <v>45711</v>
      </c>
      <c r="D33" t="str">
        <f>VLOOKUP(Table323[[#This Row],[Order Date]],'Calendars '!A19:C386,2,)</f>
        <v>W9</v>
      </c>
      <c r="E33" t="s">
        <v>78</v>
      </c>
      <c r="F33" s="15">
        <v>52.225000000000001</v>
      </c>
      <c r="G33" s="15" t="s">
        <v>21</v>
      </c>
      <c r="H33" s="1" t="s">
        <v>51</v>
      </c>
      <c r="I33" t="s">
        <v>21</v>
      </c>
      <c r="J33" s="4"/>
      <c r="K33" s="10"/>
      <c r="L33" s="7"/>
      <c r="N33" t="s">
        <v>53</v>
      </c>
      <c r="O33" s="18">
        <v>13220028</v>
      </c>
    </row>
    <row r="34" spans="1:16">
      <c r="A34" t="s">
        <v>49</v>
      </c>
      <c r="B34" t="s">
        <v>15</v>
      </c>
      <c r="C34" s="22">
        <v>45712</v>
      </c>
      <c r="D34" t="str">
        <f>VLOOKUP(Table323[[#This Row],[Order Date]],'Calendars '!A20:C387,2,)</f>
        <v>W9</v>
      </c>
      <c r="E34" t="s">
        <v>61</v>
      </c>
      <c r="F34" s="15">
        <v>50.25</v>
      </c>
      <c r="G34" s="15" t="s">
        <v>21</v>
      </c>
      <c r="H34" s="1" t="s">
        <v>77</v>
      </c>
      <c r="I34" t="s">
        <v>21</v>
      </c>
      <c r="J34" s="4"/>
      <c r="K34" s="10"/>
      <c r="L34" s="7"/>
      <c r="N34" t="s">
        <v>53</v>
      </c>
      <c r="O34" s="18">
        <v>13228207</v>
      </c>
    </row>
    <row r="35" spans="1:16">
      <c r="A35" t="s">
        <v>49</v>
      </c>
      <c r="B35" t="s">
        <v>15</v>
      </c>
      <c r="C35" s="22">
        <v>45713</v>
      </c>
      <c r="D35" t="str">
        <f>VLOOKUP(Table323[[#This Row],[Order Date]],'Calendars '!A21:C388,2,)</f>
        <v>W9</v>
      </c>
      <c r="E35" t="s">
        <v>79</v>
      </c>
      <c r="F35" s="15">
        <v>55.125</v>
      </c>
      <c r="G35" s="15" t="s">
        <v>60</v>
      </c>
      <c r="H35" s="1" t="s">
        <v>51</v>
      </c>
      <c r="I35" t="s">
        <v>52</v>
      </c>
      <c r="J35" s="4"/>
      <c r="K35" s="10"/>
      <c r="L35" s="7"/>
      <c r="N35" t="s">
        <v>53</v>
      </c>
      <c r="O35" s="18">
        <v>13239553</v>
      </c>
    </row>
    <row r="36" spans="1:16">
      <c r="A36" t="s">
        <v>49</v>
      </c>
      <c r="B36" t="s">
        <v>15</v>
      </c>
      <c r="C36" s="22">
        <v>45714</v>
      </c>
      <c r="D36" t="str">
        <f>VLOOKUP(Table323[[#This Row],[Order Date]],'Calendars '!A22:C389,2,)</f>
        <v>W9</v>
      </c>
      <c r="E36" t="s">
        <v>67</v>
      </c>
      <c r="F36" s="15">
        <v>111.5</v>
      </c>
      <c r="G36" t="s">
        <v>28</v>
      </c>
      <c r="H36" s="1" t="s">
        <v>51</v>
      </c>
      <c r="I36" t="s">
        <v>28</v>
      </c>
      <c r="J36" s="4"/>
      <c r="K36" s="10"/>
      <c r="L36" s="7"/>
      <c r="M36" t="s">
        <v>26</v>
      </c>
      <c r="N36" t="s">
        <v>53</v>
      </c>
      <c r="O36" s="18">
        <v>13250879</v>
      </c>
    </row>
    <row r="37" spans="1:16">
      <c r="A37" t="s">
        <v>49</v>
      </c>
      <c r="B37" t="s">
        <v>15</v>
      </c>
      <c r="C37" s="22">
        <v>45714</v>
      </c>
      <c r="D37" t="str">
        <f>VLOOKUP(Table323[[#This Row],[Order Date]],'Calendars '!A23:C390,2,)</f>
        <v>W9</v>
      </c>
      <c r="E37" t="s">
        <v>67</v>
      </c>
      <c r="F37" s="15">
        <v>53.1</v>
      </c>
      <c r="G37" t="s">
        <v>28</v>
      </c>
      <c r="H37" s="1" t="s">
        <v>51</v>
      </c>
      <c r="I37" t="s">
        <v>28</v>
      </c>
      <c r="J37" s="4"/>
      <c r="K37" s="10"/>
      <c r="L37" s="7"/>
      <c r="M37" t="s">
        <v>26</v>
      </c>
      <c r="N37" t="s">
        <v>53</v>
      </c>
      <c r="O37" s="18">
        <v>13250442</v>
      </c>
    </row>
    <row r="38" spans="1:16">
      <c r="A38" t="s">
        <v>49</v>
      </c>
      <c r="B38" t="s">
        <v>15</v>
      </c>
      <c r="C38" s="22">
        <v>45714</v>
      </c>
      <c r="D38" t="str">
        <f>VLOOKUP(Table323[[#This Row],[Order Date]],'Calendars '!A24:C391,2,)</f>
        <v>W9</v>
      </c>
      <c r="E38" s="155" t="s">
        <v>57</v>
      </c>
      <c r="F38" s="15">
        <v>43.575000000000003</v>
      </c>
      <c r="G38" s="15" t="s">
        <v>60</v>
      </c>
      <c r="H38" s="1" t="s">
        <v>51</v>
      </c>
      <c r="I38" t="s">
        <v>52</v>
      </c>
      <c r="J38" s="4"/>
      <c r="K38" s="10"/>
      <c r="L38" s="7"/>
      <c r="N38" t="s">
        <v>53</v>
      </c>
      <c r="O38" s="18">
        <v>13241924</v>
      </c>
    </row>
    <row r="39" spans="1:16">
      <c r="A39" t="s">
        <v>80</v>
      </c>
      <c r="B39" t="s">
        <v>15</v>
      </c>
      <c r="C39" s="22">
        <v>45714</v>
      </c>
      <c r="D39" t="str">
        <f>VLOOKUP(Table323[[#This Row],[Order Date]],'Calendars '!A25:C392,2,)</f>
        <v>W9</v>
      </c>
      <c r="E39" t="s">
        <v>81</v>
      </c>
      <c r="F39" s="3">
        <v>559.125</v>
      </c>
      <c r="G39" s="15" t="s">
        <v>60</v>
      </c>
      <c r="H39" s="1" t="s">
        <v>58</v>
      </c>
      <c r="I39" t="s">
        <v>52</v>
      </c>
      <c r="J39" s="4"/>
      <c r="K39" s="10"/>
      <c r="L39" s="1"/>
      <c r="M39" t="s">
        <v>26</v>
      </c>
      <c r="N39" t="s">
        <v>53</v>
      </c>
      <c r="O39" s="18">
        <v>13238741</v>
      </c>
    </row>
    <row r="40" spans="1:16">
      <c r="A40" t="s">
        <v>80</v>
      </c>
      <c r="B40" t="s">
        <v>15</v>
      </c>
      <c r="C40" s="22">
        <v>45715</v>
      </c>
      <c r="D40" t="str">
        <f>VLOOKUP(Table323[[#This Row],[Order Date]],'Calendars '!A26:C393,2,)</f>
        <v>W9</v>
      </c>
      <c r="E40" t="s">
        <v>64</v>
      </c>
      <c r="F40" s="15">
        <v>18.38</v>
      </c>
      <c r="G40" s="15" t="s">
        <v>44</v>
      </c>
      <c r="H40" s="1" t="s">
        <v>51</v>
      </c>
      <c r="I40" t="s">
        <v>44</v>
      </c>
      <c r="J40" s="4"/>
      <c r="K40" s="10"/>
      <c r="L40" s="7"/>
      <c r="N40" t="s">
        <v>53</v>
      </c>
      <c r="O40" s="18">
        <v>13263217</v>
      </c>
    </row>
    <row r="41" spans="1:16">
      <c r="A41" t="s">
        <v>80</v>
      </c>
      <c r="B41" t="s">
        <v>15</v>
      </c>
      <c r="C41" s="22"/>
      <c r="D41" s="92"/>
      <c r="F41" s="3"/>
      <c r="G41" s="3"/>
      <c r="H41" s="3"/>
      <c r="J41" s="4"/>
      <c r="K41" s="10"/>
      <c r="L41" s="1"/>
      <c r="O41" s="91"/>
    </row>
    <row r="42" spans="1:16">
      <c r="A42" s="11" t="s">
        <v>82</v>
      </c>
      <c r="B42" s="11"/>
      <c r="C42" s="24"/>
      <c r="D42" s="11"/>
      <c r="E42" s="11"/>
      <c r="F42" s="12">
        <f>SUBTOTAL(109,Table323[Selling price])</f>
        <v>4140.579999999999</v>
      </c>
      <c r="G42" s="12"/>
      <c r="H42" s="12"/>
      <c r="I42" s="11"/>
      <c r="J42" s="12">
        <f>SUBTOTAL(109,Table323[Cost price])</f>
        <v>0</v>
      </c>
      <c r="K42" s="13" t="e">
        <f>SUBTOTAL(101,Table323[[Margin ]])</f>
        <v>#DIV/0!</v>
      </c>
      <c r="L42" s="12">
        <f>SUBTOTAL(109,Table323[[Profit ]])</f>
        <v>0</v>
      </c>
      <c r="M42" s="11"/>
      <c r="N42" s="11"/>
      <c r="O42" s="11"/>
      <c r="P42" s="11"/>
    </row>
  </sheetData>
  <hyperlinks>
    <hyperlink ref="O2" r:id="rId1" display="https://hub.floward.io/order/12893257" xr:uid="{13B640E3-057C-4F21-B0B6-09B110CADB43}"/>
    <hyperlink ref="O3" r:id="rId2" display="https://hub.floward.io/order/12976808" xr:uid="{8292324D-58BE-4DB9-84C7-D92A5F70C7B3}"/>
    <hyperlink ref="O5" r:id="rId3" display="https://hub.floward.io/order/12971516" xr:uid="{19D49AAF-B77C-4BF4-8412-2A0208D33390}"/>
    <hyperlink ref="O8" r:id="rId4" display="https://hub.floward.io/order/12990364" xr:uid="{4FEF9607-116D-48A2-9B45-219CCDC6243D}"/>
    <hyperlink ref="O7" r:id="rId5" display="https://hub.floward.io/order/12988636" xr:uid="{89F03477-57B8-4961-8E9F-DD18008463B7}"/>
    <hyperlink ref="O9" r:id="rId6" display="https://hub.floward.io/order/13003431" xr:uid="{973D7C61-228D-4D4C-B614-5F5B7F3E97C5}"/>
    <hyperlink ref="O6" r:id="rId7" display="https://hub.floward.io/order/12977256" xr:uid="{DEEC71BF-09AE-4C3B-A1BD-0F71B16A6970}"/>
    <hyperlink ref="O10" r:id="rId8" display="https://hub.floward.io/order/13019652" xr:uid="{B03A7EF8-FCBF-4196-B3C0-6D466C832859}"/>
    <hyperlink ref="O11" r:id="rId9" display="https://hub.floward.io/order/13039241" xr:uid="{DE134E7F-324B-45CD-9881-4667D2C10F18}"/>
    <hyperlink ref="O26" r:id="rId10" display="https://hub.floward.io/order/13171457" xr:uid="{68B58921-A02C-4E3F-B67E-7477D1DA318D}"/>
    <hyperlink ref="O27" r:id="rId11" display="https://hub.floward.io/order/13177286" xr:uid="{5A7A1300-708E-46E7-A0D6-AD8E8298ED7D}"/>
    <hyperlink ref="O28" r:id="rId12" display="https://hub.floward.io/order/13177272" xr:uid="{27BDC397-AC42-4F1B-B60C-78A2B85E556B}"/>
    <hyperlink ref="O29" r:id="rId13" display="https://hub.floward.io/order/13189756" xr:uid="{70676ED2-7727-408B-8B69-1904890FE083}"/>
    <hyperlink ref="O30" r:id="rId14" display="https://hub.floward.io/order/13195385" xr:uid="{CD67579D-A813-4305-8929-9054983964CB}"/>
    <hyperlink ref="O31" r:id="rId15" display="https://hub.floward.io/order/13195972" xr:uid="{F3A0470B-A440-4F90-9F02-3F88CD362518}"/>
    <hyperlink ref="O4" r:id="rId16" display="https://hub.floward.io/order/13233795" xr:uid="{FB6EE449-BE70-476D-B266-7911A18E4C82}"/>
    <hyperlink ref="O33" r:id="rId17" display="https://hub.floward.io/order/13220028" xr:uid="{E057D558-019A-47E8-AE17-84BE4692B04E}"/>
    <hyperlink ref="O34" r:id="rId18" display="https://hub.floward.io/order/13228207" xr:uid="{8A95844A-7AA2-4C86-AEC8-EB70BAC96FEB}"/>
    <hyperlink ref="O35" r:id="rId19" display="https://hub.floward.io/order/13239553" xr:uid="{AB3BC574-475D-42FB-AF76-DC459503AF4E}"/>
    <hyperlink ref="O36" r:id="rId20" display="https://hub.floward.io/order/13250879" xr:uid="{C45A9D78-7B94-4AFD-97A8-5CEDDD9C1948}"/>
    <hyperlink ref="O37" r:id="rId21" display="https://hub.floward.io/order/13250442" xr:uid="{25965A23-3F32-4E26-9E41-003D19DAFA30}"/>
    <hyperlink ref="O38" r:id="rId22" display="https://hub.floward.io/order/13241924" xr:uid="{2211F20B-BE49-4183-A602-69AC0B575CD3}"/>
    <hyperlink ref="O39" r:id="rId23" display="https://hub.floward.io/order/13238741" xr:uid="{65FCED92-B1F9-44D3-925B-97AEB8D4DAC5}"/>
    <hyperlink ref="O40" r:id="rId24" display="https://hub.floward.io/order/13263217" xr:uid="{FCE937AA-6804-409E-B7F6-8B0581C18FB1}"/>
    <hyperlink ref="O20" r:id="rId25" display="https://hub.floward.io/order/13172126" xr:uid="{7E4FABDE-F56A-49B9-8730-A1AC7F5F73A8}"/>
  </hyperlinks>
  <pageMargins left="0.7" right="0.7" top="0.75" bottom="0.75" header="0.3" footer="0.3"/>
  <pageSetup paperSize="9" orientation="portrait" r:id="rId26"/>
  <tableParts count="1">
    <tablePart r:id="rId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2AE9-7C79-4A91-8244-B49E5D000DFD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76EF-203D-4CD9-B979-0005627F172B}">
  <dimension ref="A1:P58"/>
  <sheetViews>
    <sheetView topLeftCell="A13" workbookViewId="0">
      <selection activeCell="C1" sqref="C1:C21"/>
    </sheetView>
  </sheetViews>
  <sheetFormatPr defaultRowHeight="15" customHeight="1"/>
  <cols>
    <col min="1" max="1" width="7.88671875" customWidth="1"/>
    <col min="2" max="2" width="9.6640625" customWidth="1"/>
    <col min="3" max="3" width="14.44140625" style="22" customWidth="1"/>
    <col min="4" max="4" width="9.33203125" customWidth="1"/>
    <col min="5" max="5" width="28.109375" customWidth="1"/>
    <col min="6" max="7" width="15.44140625" customWidth="1"/>
    <col min="8" max="8" width="19.6640625" customWidth="1"/>
    <col min="9" max="9" width="15.44140625" customWidth="1"/>
    <col min="10" max="10" width="14.44140625" customWidth="1"/>
    <col min="11" max="11" width="8.88671875" customWidth="1"/>
    <col min="12" max="12" width="15.33203125" customWidth="1"/>
    <col min="13" max="13" width="18.44140625" customWidth="1"/>
    <col min="14" max="14" width="25.6640625" customWidth="1"/>
    <col min="15" max="15" width="26.44140625" customWidth="1"/>
    <col min="16" max="16" width="18.6640625" customWidth="1"/>
  </cols>
  <sheetData>
    <row r="1" spans="1:16" ht="15" customHeight="1">
      <c r="A1" t="s">
        <v>0</v>
      </c>
      <c r="B1" t="s">
        <v>1</v>
      </c>
      <c r="C1" s="22" t="s">
        <v>2</v>
      </c>
      <c r="D1" t="s">
        <v>3</v>
      </c>
      <c r="E1" t="s">
        <v>4</v>
      </c>
      <c r="F1" t="s">
        <v>5</v>
      </c>
      <c r="G1" t="s">
        <v>47</v>
      </c>
      <c r="H1" t="s">
        <v>6</v>
      </c>
      <c r="I1" t="s">
        <v>7</v>
      </c>
      <c r="J1" t="s">
        <v>8</v>
      </c>
      <c r="K1" s="2" t="s">
        <v>9</v>
      </c>
      <c r="L1" s="2" t="s">
        <v>10</v>
      </c>
      <c r="M1" t="s">
        <v>11</v>
      </c>
      <c r="N1" t="s">
        <v>48</v>
      </c>
      <c r="O1" t="s">
        <v>12</v>
      </c>
      <c r="P1" t="s">
        <v>13</v>
      </c>
    </row>
    <row r="2" spans="1:16" ht="15" customHeight="1">
      <c r="A2" t="s">
        <v>80</v>
      </c>
      <c r="B2" t="s">
        <v>15</v>
      </c>
      <c r="C2" s="22">
        <v>45658</v>
      </c>
      <c r="D2" t="str">
        <f>VLOOKUP(Table32[[#This Row],[Order Date]],'Calendars '!A2:C369,2,)</f>
        <v>W1</v>
      </c>
      <c r="E2" t="s">
        <v>83</v>
      </c>
      <c r="F2" s="15">
        <v>3113.25</v>
      </c>
      <c r="G2" s="15" t="s">
        <v>45</v>
      </c>
      <c r="H2" s="1" t="s">
        <v>58</v>
      </c>
      <c r="I2" t="s">
        <v>52</v>
      </c>
      <c r="J2" s="4">
        <v>1700</v>
      </c>
      <c r="K2" s="10">
        <f>(Table32[[#This Row],[Selling price]]-Table32[[#This Row],[Cost price]])/Table32[[#This Row],[Selling price]]</f>
        <v>0.45394684011884684</v>
      </c>
      <c r="L2" s="7">
        <f>Table3[[#This Row],[Selling price]]-Table3[[#This Row],[Cost price]]</f>
        <v>2.7300000000000004</v>
      </c>
      <c r="M2" t="s">
        <v>84</v>
      </c>
      <c r="N2" t="s">
        <v>85</v>
      </c>
      <c r="O2" s="20"/>
      <c r="P2" t="s">
        <v>86</v>
      </c>
    </row>
    <row r="3" spans="1:16" ht="15" customHeight="1">
      <c r="A3" t="s">
        <v>80</v>
      </c>
      <c r="B3" t="s">
        <v>15</v>
      </c>
      <c r="C3" s="22">
        <v>45658</v>
      </c>
      <c r="D3" t="str">
        <f>VLOOKUP(Table32[[#This Row],[Order Date]],'Calendars '!A3:C370,2,)</f>
        <v>W1</v>
      </c>
      <c r="E3" t="s">
        <v>87</v>
      </c>
      <c r="F3" s="16">
        <v>4331.25</v>
      </c>
      <c r="G3" s="15" t="s">
        <v>45</v>
      </c>
      <c r="H3" s="1" t="s">
        <v>77</v>
      </c>
      <c r="I3" t="s">
        <v>52</v>
      </c>
      <c r="J3" s="4">
        <v>2250</v>
      </c>
      <c r="K3" s="14">
        <f>(Table32[[#This Row],[Selling price]]-Table32[[#This Row],[Cost price]])/Table32[[#This Row],[Selling price]]</f>
        <v>0.48051948051948051</v>
      </c>
      <c r="L3" s="1">
        <f>Table3[[#This Row],[Selling price]]-Table3[[#This Row],[Cost price]]</f>
        <v>15.75</v>
      </c>
      <c r="N3" t="s">
        <v>88</v>
      </c>
      <c r="O3" s="17">
        <v>12564735</v>
      </c>
      <c r="P3" t="s">
        <v>89</v>
      </c>
    </row>
    <row r="4" spans="1:16" ht="15" customHeight="1">
      <c r="A4" t="s">
        <v>80</v>
      </c>
      <c r="B4" t="s">
        <v>15</v>
      </c>
      <c r="C4" s="23">
        <v>45659</v>
      </c>
      <c r="D4" t="str">
        <f>VLOOKUP(Table32[[#This Row],[Order Date]],'Calendars '!A4:C371,2,)</f>
        <v>W1</v>
      </c>
      <c r="E4" t="s">
        <v>90</v>
      </c>
      <c r="F4" s="3">
        <v>157</v>
      </c>
      <c r="G4" s="15" t="s">
        <v>45</v>
      </c>
      <c r="H4" s="1" t="s">
        <v>58</v>
      </c>
      <c r="I4" t="s">
        <v>52</v>
      </c>
      <c r="J4" s="4">
        <v>120</v>
      </c>
      <c r="K4" s="10">
        <f>(Table32[[#This Row],[Selling price]]-Table32[[#This Row],[Cost price]])/Table32[[#This Row],[Selling price]]</f>
        <v>0.2356687898089172</v>
      </c>
      <c r="L4" s="1">
        <f>Table3[[#This Row],[Selling price]]-Table3[[#This Row],[Cost price]]</f>
        <v>4.7300000000000004</v>
      </c>
      <c r="N4" t="s">
        <v>91</v>
      </c>
      <c r="O4" s="18"/>
      <c r="P4" t="s">
        <v>92</v>
      </c>
    </row>
    <row r="5" spans="1:16" ht="15" customHeight="1">
      <c r="A5" t="s">
        <v>80</v>
      </c>
      <c r="B5" t="s">
        <v>15</v>
      </c>
      <c r="C5" s="23">
        <v>45662</v>
      </c>
      <c r="D5" t="str">
        <f>VLOOKUP(Table32[[#This Row],[Order Date]],'Calendars '!A5:C372,2,)</f>
        <v>W2</v>
      </c>
      <c r="E5" t="s">
        <v>93</v>
      </c>
      <c r="F5" s="15">
        <v>440</v>
      </c>
      <c r="G5" s="15" t="s">
        <v>21</v>
      </c>
      <c r="H5" s="1" t="s">
        <v>77</v>
      </c>
      <c r="I5" t="s">
        <v>52</v>
      </c>
      <c r="J5" s="4">
        <v>318.60000000000002</v>
      </c>
      <c r="K5" s="10">
        <f>(Table32[[#This Row],[Selling price]]-Table32[[#This Row],[Cost price]])/Table32[[#This Row],[Selling price]]</f>
        <v>0.27590909090909088</v>
      </c>
      <c r="L5" s="1">
        <f>Table3[[#This Row],[Selling price]]-Table3[[#This Row],[Cost price]]</f>
        <v>4.7300000000000004</v>
      </c>
      <c r="N5" t="s">
        <v>53</v>
      </c>
      <c r="O5" s="18">
        <v>12635378</v>
      </c>
      <c r="P5" t="s">
        <v>94</v>
      </c>
    </row>
    <row r="6" spans="1:16" ht="15" customHeight="1">
      <c r="A6" t="s">
        <v>80</v>
      </c>
      <c r="B6" t="s">
        <v>15</v>
      </c>
      <c r="C6" s="22">
        <v>45662</v>
      </c>
      <c r="D6" t="str">
        <f>VLOOKUP(Table32[[#This Row],[Order Date]],'Calendars '!A6:C373,2,)</f>
        <v>W2</v>
      </c>
      <c r="E6" t="s">
        <v>95</v>
      </c>
      <c r="F6" s="3">
        <v>90</v>
      </c>
      <c r="G6" s="3" t="s">
        <v>45</v>
      </c>
      <c r="H6" s="1" t="s">
        <v>58</v>
      </c>
      <c r="I6" t="s">
        <v>52</v>
      </c>
      <c r="J6" s="4">
        <v>70</v>
      </c>
      <c r="K6" s="10">
        <f>(Table32[[#This Row],[Selling price]]-Table32[[#This Row],[Cost price]])/Table32[[#This Row],[Selling price]]</f>
        <v>0.22222222222222221</v>
      </c>
      <c r="L6" s="1">
        <f>Table3[[#This Row],[Selling price]]-Table3[[#This Row],[Cost price]]</f>
        <v>4.7300000000000004</v>
      </c>
      <c r="M6" t="s">
        <v>26</v>
      </c>
      <c r="N6" t="s">
        <v>96</v>
      </c>
      <c r="O6" s="18"/>
      <c r="P6" t="s">
        <v>97</v>
      </c>
    </row>
    <row r="7" spans="1:16" ht="15" customHeight="1">
      <c r="A7" t="s">
        <v>80</v>
      </c>
      <c r="B7" t="s">
        <v>15</v>
      </c>
      <c r="C7" s="22">
        <v>45662</v>
      </c>
      <c r="D7" t="str">
        <f>VLOOKUP(Table32[[#This Row],[Order Date]],'Calendars '!A7:C374,2,)</f>
        <v>W2</v>
      </c>
      <c r="E7" t="s">
        <v>98</v>
      </c>
      <c r="F7" s="15">
        <v>57.75</v>
      </c>
      <c r="G7" s="15" t="s">
        <v>45</v>
      </c>
      <c r="H7" s="1" t="s">
        <v>51</v>
      </c>
      <c r="I7" t="s">
        <v>52</v>
      </c>
      <c r="J7" s="4"/>
      <c r="K7" s="10">
        <f>(Table32[[#This Row],[Selling price]]-Table32[[#This Row],[Cost price]])/Table32[[#This Row],[Selling price]]</f>
        <v>1</v>
      </c>
      <c r="L7" s="1">
        <f>Table3[[#This Row],[Selling price]]-Table3[[#This Row],[Cost price]]</f>
        <v>365.4</v>
      </c>
      <c r="N7" t="s">
        <v>53</v>
      </c>
      <c r="O7" s="18">
        <v>12646365</v>
      </c>
    </row>
    <row r="8" spans="1:16" ht="15" customHeight="1">
      <c r="A8" t="s">
        <v>80</v>
      </c>
      <c r="B8" t="s">
        <v>15</v>
      </c>
      <c r="C8" s="22">
        <v>45663</v>
      </c>
      <c r="D8" t="str">
        <f>VLOOKUP(Table32[[#This Row],[Order Date]],'Calendars '!A8:C375,2,)</f>
        <v>W2</v>
      </c>
      <c r="E8" t="s">
        <v>59</v>
      </c>
      <c r="F8" s="15">
        <v>29.7</v>
      </c>
      <c r="G8" s="15" t="s">
        <v>45</v>
      </c>
      <c r="H8" s="1" t="s">
        <v>58</v>
      </c>
      <c r="I8" t="s">
        <v>52</v>
      </c>
      <c r="J8" s="4"/>
      <c r="K8" s="10">
        <f>(Table32[[#This Row],[Selling price]]-Table32[[#This Row],[Cost price]])/Table32[[#This Row],[Selling price]]</f>
        <v>1</v>
      </c>
      <c r="L8" s="1">
        <f>Table3[[#This Row],[Selling price]]-Table3[[#This Row],[Cost price]]</f>
        <v>93.15</v>
      </c>
      <c r="M8" t="s">
        <v>26</v>
      </c>
      <c r="N8" t="s">
        <v>53</v>
      </c>
      <c r="O8" s="18">
        <v>12645154</v>
      </c>
    </row>
    <row r="9" spans="1:16" ht="15" customHeight="1">
      <c r="A9" t="s">
        <v>80</v>
      </c>
      <c r="B9" t="s">
        <v>15</v>
      </c>
      <c r="C9" s="22">
        <v>45663</v>
      </c>
      <c r="D9" t="str">
        <f>VLOOKUP(Table32[[#This Row],[Order Date]],'Calendars '!A9:C376,2,)</f>
        <v>W2</v>
      </c>
      <c r="E9" s="156" t="s">
        <v>99</v>
      </c>
      <c r="F9" s="15">
        <v>24</v>
      </c>
      <c r="G9" s="15" t="s">
        <v>45</v>
      </c>
      <c r="H9" s="1" t="s">
        <v>51</v>
      </c>
      <c r="I9" t="s">
        <v>52</v>
      </c>
      <c r="J9" s="4"/>
      <c r="K9" s="10">
        <f>(Table32[[#This Row],[Selling price]]-Table32[[#This Row],[Cost price]])/Table32[[#This Row],[Selling price]]</f>
        <v>1</v>
      </c>
      <c r="L9" s="1">
        <f>Table3[[#This Row],[Selling price]]-Table3[[#This Row],[Cost price]]</f>
        <v>425.25</v>
      </c>
      <c r="N9" t="s">
        <v>53</v>
      </c>
      <c r="O9" s="18">
        <v>12638124</v>
      </c>
    </row>
    <row r="10" spans="1:16" ht="15" customHeight="1">
      <c r="A10" t="s">
        <v>80</v>
      </c>
      <c r="B10" t="s">
        <v>15</v>
      </c>
      <c r="C10" s="22">
        <v>45663</v>
      </c>
      <c r="D10" t="str">
        <f>VLOOKUP(Table32[[#This Row],[Order Date]],'Calendars '!A10:C377,2,)</f>
        <v>W2</v>
      </c>
      <c r="E10" t="s">
        <v>16</v>
      </c>
      <c r="F10" s="3">
        <v>68.260000000000005</v>
      </c>
      <c r="G10" s="3" t="s">
        <v>44</v>
      </c>
      <c r="H10" s="1" t="s">
        <v>51</v>
      </c>
      <c r="I10" s="3" t="s">
        <v>44</v>
      </c>
      <c r="J10" s="4"/>
      <c r="K10" s="2"/>
      <c r="L10" s="1">
        <f>Table3[[#This Row],[Selling price]]-Table3[[#This Row],[Cost price]]</f>
        <v>14</v>
      </c>
      <c r="N10" t="s">
        <v>53</v>
      </c>
      <c r="O10" s="19" t="s">
        <v>100</v>
      </c>
    </row>
    <row r="11" spans="1:16" ht="15" customHeight="1">
      <c r="A11" t="s">
        <v>80</v>
      </c>
      <c r="B11" t="s">
        <v>15</v>
      </c>
      <c r="C11" s="22">
        <v>45664</v>
      </c>
      <c r="D11" t="str">
        <f>VLOOKUP(Table32[[#This Row],[Order Date]],'Calendars '!A11:C378,2,)</f>
        <v>W2</v>
      </c>
      <c r="E11" t="s">
        <v>101</v>
      </c>
      <c r="F11" s="3">
        <v>15</v>
      </c>
      <c r="G11" s="3" t="s">
        <v>45</v>
      </c>
      <c r="H11" s="1" t="s">
        <v>51</v>
      </c>
      <c r="I11" t="s">
        <v>101</v>
      </c>
      <c r="J11" s="4"/>
      <c r="K11" s="10"/>
      <c r="L11" s="1">
        <f>Table3[[#This Row],[Selling price]]-Table3[[#This Row],[Cost price]]</f>
        <v>55.125</v>
      </c>
      <c r="M11" t="s">
        <v>26</v>
      </c>
      <c r="N11" t="s">
        <v>53</v>
      </c>
      <c r="O11" s="18">
        <v>12667261</v>
      </c>
      <c r="P11" t="s">
        <v>102</v>
      </c>
    </row>
    <row r="12" spans="1:16" ht="15" customHeight="1">
      <c r="A12" t="s">
        <v>80</v>
      </c>
      <c r="B12" t="s">
        <v>15</v>
      </c>
      <c r="C12" s="22">
        <v>45665</v>
      </c>
      <c r="D12" t="str">
        <f>VLOOKUP(Table32[[#This Row],[Order Date]],'Calendars '!A12:C379,2,)</f>
        <v>W2</v>
      </c>
      <c r="E12" t="s">
        <v>16</v>
      </c>
      <c r="F12" s="3">
        <v>34.984999999999999</v>
      </c>
      <c r="G12" s="3" t="s">
        <v>44</v>
      </c>
      <c r="H12" s="1" t="s">
        <v>51</v>
      </c>
      <c r="I12" s="3" t="s">
        <v>44</v>
      </c>
      <c r="J12" s="4"/>
      <c r="K12" s="10">
        <f>(Table32[[#This Row],[Selling price]]-Table32[[#This Row],[Cost price]])/Table32[[#This Row],[Selling price]]</f>
        <v>1</v>
      </c>
      <c r="L12" s="1">
        <f>Table3[[#This Row],[Selling price]]-Table3[[#This Row],[Cost price]]</f>
        <v>46.75</v>
      </c>
      <c r="N12" t="s">
        <v>53</v>
      </c>
      <c r="O12" s="18">
        <v>12676931</v>
      </c>
    </row>
    <row r="13" spans="1:16" ht="15" customHeight="1">
      <c r="A13" t="s">
        <v>80</v>
      </c>
      <c r="B13" t="s">
        <v>15</v>
      </c>
      <c r="C13" s="22">
        <v>45666</v>
      </c>
      <c r="D13" t="str">
        <f>VLOOKUP(Table32[[#This Row],[Order Date]],'Calendars '!A13:C380,2,)</f>
        <v>W2</v>
      </c>
      <c r="E13" t="s">
        <v>59</v>
      </c>
      <c r="F13" s="3">
        <v>30</v>
      </c>
      <c r="G13" s="3" t="s">
        <v>45</v>
      </c>
      <c r="H13" s="1" t="s">
        <v>58</v>
      </c>
      <c r="I13" t="s">
        <v>52</v>
      </c>
      <c r="J13" s="4"/>
      <c r="K13" s="10">
        <f>(Table32[[#This Row],[Selling price]]-Table32[[#This Row],[Cost price]])/Table32[[#This Row],[Selling price]]</f>
        <v>1</v>
      </c>
      <c r="L13" s="1">
        <f>Table3[[#This Row],[Selling price]]-Table3[[#This Row],[Cost price]]</f>
        <v>416.5</v>
      </c>
      <c r="M13" t="s">
        <v>26</v>
      </c>
      <c r="N13" t="s">
        <v>53</v>
      </c>
      <c r="O13" s="18">
        <v>12709104</v>
      </c>
    </row>
    <row r="14" spans="1:16" ht="15" customHeight="1">
      <c r="A14" t="s">
        <v>80</v>
      </c>
      <c r="B14" t="s">
        <v>15</v>
      </c>
      <c r="C14" s="25">
        <v>45671</v>
      </c>
      <c r="D14" t="str">
        <f>VLOOKUP(Table32[[#This Row],[Order Date]],'Calendars '!A14:C381,2,)</f>
        <v>W3</v>
      </c>
      <c r="E14" t="s">
        <v>101</v>
      </c>
      <c r="F14" s="3">
        <v>15</v>
      </c>
      <c r="G14" s="3" t="s">
        <v>45</v>
      </c>
      <c r="H14" s="1" t="s">
        <v>51</v>
      </c>
      <c r="I14" t="s">
        <v>101</v>
      </c>
      <c r="J14" s="4"/>
      <c r="K14" s="10">
        <f>(Table32[[#This Row],[Selling price]]-Table32[[#This Row],[Cost price]])/Table32[[#This Row],[Selling price]]</f>
        <v>1</v>
      </c>
      <c r="L14" s="1">
        <f>Table3[[#This Row],[Selling price]]-Table3[[#This Row],[Cost price]]</f>
        <v>39.85</v>
      </c>
      <c r="M14" t="s">
        <v>26</v>
      </c>
      <c r="N14" t="s">
        <v>53</v>
      </c>
      <c r="O14" s="18">
        <v>12718837</v>
      </c>
      <c r="P14" t="s">
        <v>102</v>
      </c>
    </row>
    <row r="15" spans="1:16" ht="15" customHeight="1">
      <c r="A15" t="s">
        <v>80</v>
      </c>
      <c r="B15" t="s">
        <v>15</v>
      </c>
      <c r="C15" s="22">
        <v>45671</v>
      </c>
      <c r="D15" t="str">
        <f>VLOOKUP(Table32[[#This Row],[Order Date]],'Calendars '!A15:C382,2,)</f>
        <v>W3</v>
      </c>
      <c r="E15" t="s">
        <v>103</v>
      </c>
      <c r="F15" s="3">
        <v>50.625</v>
      </c>
      <c r="G15" s="3" t="s">
        <v>45</v>
      </c>
      <c r="H15" s="1" t="s">
        <v>58</v>
      </c>
      <c r="I15" t="s">
        <v>52</v>
      </c>
      <c r="J15" s="4"/>
      <c r="K15" s="10">
        <f>(Table32[[#This Row],[Selling price]]-Table32[[#This Row],[Cost price]])/Table32[[#This Row],[Selling price]]</f>
        <v>1</v>
      </c>
      <c r="L15" s="1">
        <f>Table3[[#This Row],[Selling price]]-Table3[[#This Row],[Cost price]]</f>
        <v>0</v>
      </c>
      <c r="N15" t="s">
        <v>53</v>
      </c>
      <c r="O15" s="18">
        <v>12717115</v>
      </c>
    </row>
    <row r="16" spans="1:16" ht="15" customHeight="1">
      <c r="A16" t="s">
        <v>80</v>
      </c>
      <c r="B16" t="s">
        <v>15</v>
      </c>
      <c r="C16" s="22">
        <v>45672</v>
      </c>
      <c r="D16" t="str">
        <f>VLOOKUP(Table32[[#This Row],[Order Date]],'Calendars '!A16:C383,2,)</f>
        <v>W3</v>
      </c>
      <c r="E16" t="s">
        <v>59</v>
      </c>
      <c r="F16" s="3">
        <v>204.4</v>
      </c>
      <c r="G16" s="15" t="s">
        <v>21</v>
      </c>
      <c r="H16" s="1" t="s">
        <v>77</v>
      </c>
      <c r="I16" t="s">
        <v>52</v>
      </c>
      <c r="J16" s="4"/>
      <c r="K16" s="2"/>
      <c r="L16" s="1" t="e">
        <f>Table3[[#This Row],[Selling price]]-Table3[[#This Row],[Cost price]]</f>
        <v>#VALUE!</v>
      </c>
      <c r="M16" t="s">
        <v>26</v>
      </c>
      <c r="N16" t="s">
        <v>53</v>
      </c>
      <c r="O16" s="17" t="s">
        <v>104</v>
      </c>
    </row>
    <row r="17" spans="1:16" ht="15" customHeight="1">
      <c r="A17" t="s">
        <v>80</v>
      </c>
      <c r="B17" t="s">
        <v>15</v>
      </c>
      <c r="C17" s="22">
        <v>45672</v>
      </c>
      <c r="D17" t="str">
        <f>VLOOKUP(Table32[[#This Row],[Order Date]],'Calendars '!A17:C384,2,)</f>
        <v>W3</v>
      </c>
      <c r="E17" t="s">
        <v>101</v>
      </c>
      <c r="F17" s="3">
        <v>15</v>
      </c>
      <c r="G17" s="52" t="s">
        <v>45</v>
      </c>
      <c r="H17" s="1" t="s">
        <v>51</v>
      </c>
      <c r="I17" t="s">
        <v>101</v>
      </c>
      <c r="J17" s="4"/>
      <c r="K17" s="10">
        <f>(Table32[[#This Row],[Selling price]]-Table32[[#This Row],[Cost price]])/Table32[[#This Row],[Selling price]]</f>
        <v>1</v>
      </c>
      <c r="L17" s="1" t="e">
        <f>Table3[[#This Row],[Selling price]]-Table3[[#This Row],[Cost price]]</f>
        <v>#VALUE!</v>
      </c>
      <c r="M17" t="s">
        <v>105</v>
      </c>
      <c r="N17" t="s">
        <v>53</v>
      </c>
      <c r="O17" s="21">
        <v>12724178</v>
      </c>
      <c r="P17" t="s">
        <v>106</v>
      </c>
    </row>
    <row r="18" spans="1:16" ht="15" customHeight="1">
      <c r="A18" t="s">
        <v>80</v>
      </c>
      <c r="B18" t="s">
        <v>15</v>
      </c>
      <c r="C18" s="22">
        <v>45673</v>
      </c>
      <c r="D18" t="str">
        <f>VLOOKUP(Table32[[#This Row],[Order Date]],'Calendars '!A18:C385,2,)</f>
        <v>W3</v>
      </c>
      <c r="E18" t="s">
        <v>107</v>
      </c>
      <c r="F18" s="3">
        <v>76.125</v>
      </c>
      <c r="G18" s="15" t="s">
        <v>21</v>
      </c>
      <c r="H18" s="1" t="s">
        <v>51</v>
      </c>
      <c r="I18" t="s">
        <v>21</v>
      </c>
      <c r="J18" s="4"/>
      <c r="K18" s="10">
        <f>(Table32[[#This Row],[Selling price]]-Table32[[#This Row],[Cost price]])/Table32[[#This Row],[Selling price]]</f>
        <v>1</v>
      </c>
      <c r="L18" s="1" t="e">
        <f>Table3[[#This Row],[Selling price]]-Table3[[#This Row],[Cost price]]</f>
        <v>#VALUE!</v>
      </c>
      <c r="N18" t="s">
        <v>53</v>
      </c>
      <c r="O18" s="18">
        <v>12717270</v>
      </c>
    </row>
    <row r="19" spans="1:16" ht="15" customHeight="1">
      <c r="A19" t="s">
        <v>80</v>
      </c>
      <c r="B19" t="s">
        <v>15</v>
      </c>
      <c r="C19" s="22">
        <v>45674</v>
      </c>
      <c r="D19" t="str">
        <f>VLOOKUP(Table32[[#This Row],[Order Date]],'Calendars '!A19:C386,2,)</f>
        <v>W3</v>
      </c>
      <c r="E19" s="156" t="s">
        <v>108</v>
      </c>
      <c r="F19" s="3">
        <v>46.725000000000001</v>
      </c>
      <c r="G19" s="83" t="s">
        <v>45</v>
      </c>
      <c r="H19" s="1" t="s">
        <v>51</v>
      </c>
      <c r="I19" t="s">
        <v>52</v>
      </c>
      <c r="J19" s="4"/>
      <c r="K19" s="10">
        <f>(Table32[[#This Row],[Selling price]]-Table32[[#This Row],[Cost price]])/Table32[[#This Row],[Selling price]]</f>
        <v>1</v>
      </c>
      <c r="L19" s="1" t="e">
        <f>Table3[[#This Row],[Selling price]]-Table3[[#This Row],[Cost price]]</f>
        <v>#VALUE!</v>
      </c>
      <c r="N19" t="s">
        <v>53</v>
      </c>
      <c r="O19" s="18">
        <v>12743396</v>
      </c>
    </row>
    <row r="20" spans="1:16" ht="15" customHeight="1">
      <c r="A20" t="s">
        <v>80</v>
      </c>
      <c r="B20" t="s">
        <v>15</v>
      </c>
      <c r="C20" s="22">
        <v>45675</v>
      </c>
      <c r="D20" t="str">
        <f>VLOOKUP(Table32[[#This Row],[Order Date]],'Calendars '!A20:C387,2,)</f>
        <v>W3</v>
      </c>
      <c r="E20" t="s">
        <v>109</v>
      </c>
      <c r="F20" s="3">
        <v>55.65</v>
      </c>
      <c r="G20" s="15" t="s">
        <v>21</v>
      </c>
      <c r="H20" s="1" t="s">
        <v>51</v>
      </c>
      <c r="I20" t="s">
        <v>110</v>
      </c>
      <c r="J20" s="4"/>
      <c r="K20" s="10">
        <f>(Table32[[#This Row],[Selling price]]-Table32[[#This Row],[Cost price]])/Table32[[#This Row],[Selling price]]</f>
        <v>1</v>
      </c>
      <c r="L20" s="1" t="e">
        <f>Table3[[#This Row],[Selling price]]-Table3[[#This Row],[Cost price]]</f>
        <v>#VALUE!</v>
      </c>
      <c r="N20" t="s">
        <v>53</v>
      </c>
      <c r="O20" s="18">
        <v>12751373</v>
      </c>
    </row>
    <row r="21" spans="1:16" ht="15" customHeight="1">
      <c r="A21" t="s">
        <v>80</v>
      </c>
      <c r="B21" t="s">
        <v>15</v>
      </c>
      <c r="C21" s="22">
        <v>45677</v>
      </c>
      <c r="D21" s="92" t="str">
        <f>VLOOKUP(Table32[[#This Row],[Order Date]],'Calendars '!A22:C389,2,)</f>
        <v>W4</v>
      </c>
      <c r="E21" t="s">
        <v>16</v>
      </c>
      <c r="F21" s="95">
        <v>6.3</v>
      </c>
      <c r="G21" s="3" t="s">
        <v>44</v>
      </c>
      <c r="H21" s="1" t="s">
        <v>51</v>
      </c>
      <c r="I21" s="3" t="s">
        <v>44</v>
      </c>
      <c r="J21" s="4"/>
      <c r="K21" s="10">
        <f>(Table32[[#This Row],[Selling price]]-Table32[[#This Row],[Cost price]])/Table32[[#This Row],[Selling price]]</f>
        <v>1</v>
      </c>
      <c r="L21" s="1" t="e">
        <f>Table3[[#This Row],[Selling price]]-Table3[[#This Row],[Cost price]]</f>
        <v>#VALUE!</v>
      </c>
      <c r="N21" t="s">
        <v>53</v>
      </c>
      <c r="O21" s="18">
        <v>12764966</v>
      </c>
    </row>
    <row r="22" spans="1:16" ht="15" customHeight="1">
      <c r="A22" t="s">
        <v>80</v>
      </c>
      <c r="B22" t="s">
        <v>15</v>
      </c>
      <c r="C22" s="22">
        <v>45677</v>
      </c>
      <c r="D22" s="92" t="str">
        <f>VLOOKUP(Table32[[#This Row],[Order Date]],'Calendars '!A22:C389,2,)</f>
        <v>W4</v>
      </c>
      <c r="E22" t="s">
        <v>16</v>
      </c>
      <c r="F22" s="95">
        <v>80.92</v>
      </c>
      <c r="G22" s="3" t="s">
        <v>44</v>
      </c>
      <c r="H22" s="1" t="s">
        <v>51</v>
      </c>
      <c r="I22" s="3" t="s">
        <v>44</v>
      </c>
      <c r="J22" s="4"/>
      <c r="K22" s="10">
        <f>(Table32[[#This Row],[Selling price]]-Table32[[#This Row],[Cost price]])/Table32[[#This Row],[Selling price]]</f>
        <v>1</v>
      </c>
      <c r="L22" s="1" t="e">
        <f>Table3[[#This Row],[Selling price]]-Table3[[#This Row],[Cost price]]</f>
        <v>#VALUE!</v>
      </c>
      <c r="N22" t="s">
        <v>53</v>
      </c>
      <c r="O22" s="18">
        <v>12764318</v>
      </c>
    </row>
    <row r="23" spans="1:16" ht="15" customHeight="1">
      <c r="A23" t="s">
        <v>80</v>
      </c>
      <c r="B23" t="s">
        <v>15</v>
      </c>
      <c r="C23" s="22">
        <v>45677</v>
      </c>
      <c r="D23" s="20" t="str">
        <f>VLOOKUP(Table32[[#This Row],[Order Date]],'Calendars '!A21:C388,2,)</f>
        <v>W4</v>
      </c>
      <c r="E23" t="s">
        <v>95</v>
      </c>
      <c r="F23" s="3">
        <v>235.2</v>
      </c>
      <c r="G23" s="3" t="s">
        <v>45</v>
      </c>
      <c r="H23" s="1" t="s">
        <v>51</v>
      </c>
      <c r="I23" t="s">
        <v>52</v>
      </c>
      <c r="J23" s="4"/>
      <c r="K23" s="10">
        <f>(Table32[[#This Row],[Selling price]]-Table32[[#This Row],[Cost price]])/Table32[[#This Row],[Selling price]]</f>
        <v>1</v>
      </c>
      <c r="L23" s="1" t="e">
        <f>Table3[[#This Row],[Selling price]]-Table3[[#This Row],[Cost price]]</f>
        <v>#VALUE!</v>
      </c>
      <c r="N23" t="s">
        <v>111</v>
      </c>
      <c r="O23" s="18"/>
      <c r="P23" t="s">
        <v>112</v>
      </c>
    </row>
    <row r="24" spans="1:16" ht="15" customHeight="1">
      <c r="A24" t="s">
        <v>80</v>
      </c>
      <c r="B24" t="s">
        <v>15</v>
      </c>
      <c r="C24" s="22">
        <v>45678</v>
      </c>
      <c r="D24" s="92" t="str">
        <f>VLOOKUP(Table32[[#This Row],[Order Date]],'Calendars '!A22:C389,2,)</f>
        <v>W4</v>
      </c>
      <c r="E24" t="s">
        <v>59</v>
      </c>
      <c r="F24" s="3">
        <v>37.325000000000003</v>
      </c>
      <c r="G24" s="3" t="s">
        <v>45</v>
      </c>
      <c r="H24" s="1" t="s">
        <v>58</v>
      </c>
      <c r="I24" t="s">
        <v>52</v>
      </c>
      <c r="J24" s="4"/>
      <c r="K24" s="10">
        <f>(Table32[[#This Row],[Selling price]]-Table32[[#This Row],[Cost price]])/Table32[[#This Row],[Selling price]]</f>
        <v>1</v>
      </c>
      <c r="L24" s="1" t="e">
        <f>Table3[[#This Row],[Selling price]]-Table3[[#This Row],[Cost price]]</f>
        <v>#VALUE!</v>
      </c>
      <c r="N24" t="s">
        <v>53</v>
      </c>
      <c r="O24" s="18">
        <v>12781313</v>
      </c>
    </row>
    <row r="25" spans="1:16" ht="15" customHeight="1">
      <c r="A25" t="s">
        <v>80</v>
      </c>
      <c r="B25" t="s">
        <v>15</v>
      </c>
      <c r="C25" s="22">
        <v>45678</v>
      </c>
      <c r="D25" s="92" t="str">
        <f>VLOOKUP(Table32[[#This Row],[Order Date]],'Calendars '!A22:C389,2,)</f>
        <v>W4</v>
      </c>
      <c r="E25" t="s">
        <v>101</v>
      </c>
      <c r="F25" s="3">
        <v>5.25</v>
      </c>
      <c r="G25" s="3" t="s">
        <v>45</v>
      </c>
      <c r="H25" s="1" t="s">
        <v>51</v>
      </c>
      <c r="I25" t="s">
        <v>101</v>
      </c>
      <c r="J25" s="4"/>
      <c r="K25" s="10">
        <f>(Table32[[#This Row],[Selling price]]-Table32[[#This Row],[Cost price]])/Table32[[#This Row],[Selling price]]</f>
        <v>1</v>
      </c>
      <c r="L25" s="1" t="e">
        <f>Table3[[#This Row],[Selling price]]-Table3[[#This Row],[Cost price]]</f>
        <v>#VALUE!</v>
      </c>
      <c r="M25" t="s">
        <v>26</v>
      </c>
      <c r="N25" t="s">
        <v>53</v>
      </c>
      <c r="O25" s="18">
        <v>12780525</v>
      </c>
      <c r="P25" t="s">
        <v>102</v>
      </c>
    </row>
    <row r="26" spans="1:16" ht="15" customHeight="1">
      <c r="A26" t="s">
        <v>80</v>
      </c>
      <c r="B26" t="s">
        <v>15</v>
      </c>
      <c r="C26" s="22">
        <v>45680</v>
      </c>
      <c r="D26" s="92" t="str">
        <f>VLOOKUP(Table32[[#This Row],[Order Date]],'Calendars '!A22:C389,2,)</f>
        <v>W4</v>
      </c>
      <c r="E26" t="s">
        <v>109</v>
      </c>
      <c r="F26" s="3">
        <v>21.9</v>
      </c>
      <c r="G26" s="15" t="s">
        <v>21</v>
      </c>
      <c r="H26" s="1" t="s">
        <v>51</v>
      </c>
      <c r="I26" t="s">
        <v>110</v>
      </c>
      <c r="J26" s="4"/>
      <c r="K26" s="10">
        <f>(Table32[[#This Row],[Selling price]]-Table32[[#This Row],[Cost price]])/Table32[[#This Row],[Selling price]]</f>
        <v>1</v>
      </c>
      <c r="L26" s="1" t="e">
        <f>Table3[[#This Row],[Selling price]]-Table3[[#This Row],[Cost price]]</f>
        <v>#VALUE!</v>
      </c>
      <c r="N26" t="s">
        <v>53</v>
      </c>
      <c r="O26" s="18">
        <v>12789816</v>
      </c>
    </row>
    <row r="27" spans="1:16" ht="15" customHeight="1">
      <c r="A27" t="s">
        <v>80</v>
      </c>
      <c r="B27" t="s">
        <v>15</v>
      </c>
      <c r="C27" s="22">
        <v>45680</v>
      </c>
      <c r="D27" s="92" t="str">
        <f>VLOOKUP(Table32[[#This Row],[Order Date]],'Calendars '!A22:C389,2,)</f>
        <v>W4</v>
      </c>
      <c r="E27" t="s">
        <v>59</v>
      </c>
      <c r="F27" s="3">
        <v>38</v>
      </c>
      <c r="G27" s="83" t="s">
        <v>45</v>
      </c>
      <c r="H27" s="1" t="s">
        <v>58</v>
      </c>
      <c r="I27" t="s">
        <v>52</v>
      </c>
      <c r="J27" s="4"/>
      <c r="K27" s="10">
        <f>(Table32[[#This Row],[Selling price]]-Table32[[#This Row],[Cost price]])/Table32[[#This Row],[Selling price]]</f>
        <v>1</v>
      </c>
      <c r="L27" s="1" t="e">
        <f>Table3[[#This Row],[Selling price]]-Table3[[#This Row],[Cost price]]</f>
        <v>#VALUE!</v>
      </c>
      <c r="N27" t="s">
        <v>53</v>
      </c>
      <c r="O27" s="18">
        <v>12783352</v>
      </c>
    </row>
    <row r="28" spans="1:16" ht="14.4">
      <c r="A28" t="s">
        <v>80</v>
      </c>
      <c r="B28" t="s">
        <v>15</v>
      </c>
      <c r="C28" s="22">
        <v>45683</v>
      </c>
      <c r="D28" s="92" t="str">
        <f>VLOOKUP(Table32[[#This Row],[Order Date]],'Calendars '!A22:C389,2,)</f>
        <v>W5</v>
      </c>
      <c r="E28" t="s">
        <v>113</v>
      </c>
      <c r="F28" s="3">
        <v>10342.5</v>
      </c>
      <c r="G28" s="3" t="s">
        <v>45</v>
      </c>
      <c r="H28" s="3" t="s">
        <v>114</v>
      </c>
      <c r="I28" t="s">
        <v>52</v>
      </c>
      <c r="J28" s="4"/>
      <c r="K28" s="10">
        <f>(Table32[[#This Row],[Selling price]]-Table32[[#This Row],[Cost price]])/Table32[[#This Row],[Selling price]]</f>
        <v>1</v>
      </c>
      <c r="L28" s="1" t="e">
        <f>Table3[[#This Row],[Selling price]]-Table3[[#This Row],[Cost price]]</f>
        <v>#VALUE!</v>
      </c>
      <c r="M28" t="s">
        <v>23</v>
      </c>
      <c r="N28" t="s">
        <v>115</v>
      </c>
      <c r="O28" s="91">
        <v>12789030</v>
      </c>
    </row>
    <row r="29" spans="1:16" ht="14.4">
      <c r="A29" t="s">
        <v>80</v>
      </c>
      <c r="B29" t="s">
        <v>15</v>
      </c>
      <c r="C29" s="22">
        <v>45683</v>
      </c>
      <c r="D29" s="60" t="str">
        <f>VLOOKUP(Table32[[#This Row],[Order Date]],'Calendars '!A29:C396,2,)</f>
        <v>W5</v>
      </c>
      <c r="E29" t="s">
        <v>116</v>
      </c>
      <c r="F29" s="3">
        <v>81</v>
      </c>
      <c r="G29" s="3" t="s">
        <v>21</v>
      </c>
      <c r="H29" s="1" t="s">
        <v>51</v>
      </c>
      <c r="I29" t="s">
        <v>21</v>
      </c>
      <c r="J29" s="4"/>
      <c r="K29" s="10">
        <f>(Table32[[#This Row],[Selling price]]-Table32[[#This Row],[Cost price]])/Table32[[#This Row],[Selling price]]</f>
        <v>1</v>
      </c>
      <c r="L29" s="1" t="e">
        <f>Table3[[#This Row],[Selling price]]-Table3[[#This Row],[Cost price]]</f>
        <v>#VALUE!</v>
      </c>
      <c r="M29" t="s">
        <v>23</v>
      </c>
      <c r="N29" t="s">
        <v>53</v>
      </c>
      <c r="O29" s="18">
        <v>12820284</v>
      </c>
    </row>
    <row r="30" spans="1:16" ht="14.4">
      <c r="A30" t="s">
        <v>80</v>
      </c>
      <c r="B30" t="s">
        <v>15</v>
      </c>
      <c r="C30" s="22">
        <v>45683</v>
      </c>
      <c r="D30" s="60" t="str">
        <f>VLOOKUP(Table32[[#This Row],[Order Date]],'Calendars '!A29:C396,2,)</f>
        <v>W5</v>
      </c>
      <c r="E30" t="s">
        <v>16</v>
      </c>
      <c r="F30" s="3">
        <v>16.507999999999999</v>
      </c>
      <c r="G30" s="3" t="s">
        <v>44</v>
      </c>
      <c r="H30" s="1" t="s">
        <v>51</v>
      </c>
      <c r="I30" s="3" t="s">
        <v>44</v>
      </c>
      <c r="J30" s="4"/>
      <c r="K30" s="10">
        <f>(Table32[[#This Row],[Selling price]]-Table32[[#This Row],[Cost price]])/Table32[[#This Row],[Selling price]]</f>
        <v>1</v>
      </c>
      <c r="L30" s="1" t="e">
        <f>Table3[[#This Row],[Selling price]]-Table3[[#This Row],[Cost price]]</f>
        <v>#VALUE!</v>
      </c>
      <c r="N30" t="s">
        <v>53</v>
      </c>
      <c r="O30" s="18">
        <v>12819357</v>
      </c>
    </row>
    <row r="31" spans="1:16" ht="14.4">
      <c r="A31" t="s">
        <v>80</v>
      </c>
      <c r="B31" t="s">
        <v>15</v>
      </c>
      <c r="C31" s="22">
        <v>45686</v>
      </c>
      <c r="D31" s="60" t="str">
        <f>VLOOKUP(Table32[[#This Row],[Order Date]],'Calendars '!A29:C396,2,)</f>
        <v>W5</v>
      </c>
      <c r="E31" t="s">
        <v>59</v>
      </c>
      <c r="F31" s="3">
        <v>159</v>
      </c>
      <c r="G31" s="3" t="s">
        <v>45</v>
      </c>
      <c r="H31" s="3" t="s">
        <v>77</v>
      </c>
      <c r="I31" t="s">
        <v>52</v>
      </c>
      <c r="J31" s="4"/>
      <c r="K31" s="10">
        <f>(Table32[[#This Row],[Selling price]]-Table32[[#This Row],[Cost price]])/Table32[[#This Row],[Selling price]]</f>
        <v>1</v>
      </c>
      <c r="L31" s="1" t="e">
        <f>Table3[[#This Row],[Selling price]]-Table3[[#This Row],[Cost price]]</f>
        <v>#VALUE!</v>
      </c>
      <c r="N31" t="s">
        <v>53</v>
      </c>
      <c r="O31" s="18">
        <v>12850048</v>
      </c>
    </row>
    <row r="32" spans="1:16" ht="14.4">
      <c r="A32" t="s">
        <v>80</v>
      </c>
      <c r="B32" t="s">
        <v>15</v>
      </c>
      <c r="C32" s="22">
        <v>45686</v>
      </c>
      <c r="D32" s="60" t="str">
        <f>VLOOKUP(Table32[[#This Row],[Order Date]],'Calendars '!A29:C396,2,)</f>
        <v>W5</v>
      </c>
      <c r="E32" t="s">
        <v>101</v>
      </c>
      <c r="F32" s="3">
        <v>20</v>
      </c>
      <c r="G32" s="3" t="s">
        <v>45</v>
      </c>
      <c r="H32" s="1" t="s">
        <v>51</v>
      </c>
      <c r="I32" t="s">
        <v>101</v>
      </c>
      <c r="J32" s="4"/>
      <c r="K32" s="10">
        <f>(Table32[[#This Row],[Selling price]]-Table32[[#This Row],[Cost price]])/Table32[[#This Row],[Selling price]]</f>
        <v>1</v>
      </c>
      <c r="L32" s="1" t="e">
        <f>Table3[[#This Row],[Selling price]]-Table3[[#This Row],[Cost price]]</f>
        <v>#VALUE!</v>
      </c>
      <c r="M32" t="s">
        <v>23</v>
      </c>
      <c r="N32" t="s">
        <v>53</v>
      </c>
      <c r="O32" s="18">
        <v>12850270</v>
      </c>
    </row>
    <row r="33" spans="1:16" ht="14.4">
      <c r="A33" t="s">
        <v>80</v>
      </c>
      <c r="B33" t="s">
        <v>15</v>
      </c>
      <c r="C33" s="22">
        <v>45686</v>
      </c>
      <c r="D33" s="60" t="str">
        <f>VLOOKUP(Table32[[#This Row],[Order Date]],'Calendars '!A29:C396,2,)</f>
        <v>W5</v>
      </c>
      <c r="E33" t="s">
        <v>117</v>
      </c>
      <c r="F33" s="3">
        <v>48</v>
      </c>
      <c r="G33" s="3" t="s">
        <v>45</v>
      </c>
      <c r="H33" s="3" t="s">
        <v>17</v>
      </c>
      <c r="I33" t="s">
        <v>52</v>
      </c>
      <c r="J33" s="4"/>
      <c r="K33" s="10">
        <f>(Table32[[#This Row],[Selling price]]-Table32[[#This Row],[Cost price]])/Table32[[#This Row],[Selling price]]</f>
        <v>1</v>
      </c>
      <c r="L33" s="1" t="e">
        <f>Table3[[#This Row],[Selling price]]-Table3[[#This Row],[Cost price]]</f>
        <v>#VALUE!</v>
      </c>
      <c r="M33" t="s">
        <v>23</v>
      </c>
      <c r="N33" t="s">
        <v>53</v>
      </c>
      <c r="O33" s="18">
        <v>12840935</v>
      </c>
    </row>
    <row r="34" spans="1:16" ht="14.4">
      <c r="A34" t="s">
        <v>80</v>
      </c>
      <c r="B34" t="s">
        <v>15</v>
      </c>
      <c r="C34" s="22">
        <v>45688</v>
      </c>
      <c r="D34" s="60" t="str">
        <f>VLOOKUP(Table32[[#This Row],[Order Date]],'Calendars '!A34:C401,2,)</f>
        <v>W5</v>
      </c>
      <c r="E34" t="s">
        <v>101</v>
      </c>
      <c r="F34" s="3">
        <v>83.650899999999993</v>
      </c>
      <c r="G34" s="3" t="s">
        <v>45</v>
      </c>
      <c r="H34" s="3" t="s">
        <v>17</v>
      </c>
      <c r="I34" t="s">
        <v>101</v>
      </c>
      <c r="J34" s="4"/>
      <c r="K34" s="10">
        <f>(Table32[[#This Row],[Selling price]]-Table32[[#This Row],[Cost price]])/Table32[[#This Row],[Selling price]]</f>
        <v>1</v>
      </c>
      <c r="L34" s="1" t="e">
        <f>Table3[[#This Row],[Selling price]]-Table3[[#This Row],[Cost price]]</f>
        <v>#VALUE!</v>
      </c>
      <c r="M34" t="s">
        <v>23</v>
      </c>
      <c r="N34" t="s">
        <v>53</v>
      </c>
      <c r="O34" s="18">
        <v>12871631</v>
      </c>
    </row>
    <row r="35" spans="1:16" ht="14.4">
      <c r="A35" t="s">
        <v>14</v>
      </c>
      <c r="B35" t="s">
        <v>15</v>
      </c>
      <c r="C35" s="6" t="s">
        <v>118</v>
      </c>
      <c r="D35" s="20" t="s">
        <v>39</v>
      </c>
      <c r="E35" t="s">
        <v>119</v>
      </c>
      <c r="F35" s="3">
        <v>37.625</v>
      </c>
      <c r="G35" s="3" t="s">
        <v>45</v>
      </c>
      <c r="H35" s="1" t="s">
        <v>17</v>
      </c>
      <c r="I35" t="s">
        <v>32</v>
      </c>
      <c r="J35" s="4"/>
      <c r="K35" s="10" t="e">
        <f>(Table3[[#This Row],[Selling price]]-Table3[[#This Row],[Cost price]])/Table3[[#This Row],[Selling price]]</f>
        <v>#VALUE!</v>
      </c>
      <c r="L35" s="1" t="e">
        <f>Table3[[#This Row],[Selling price]]-Table3[[#This Row],[Cost price]]</f>
        <v>#VALUE!</v>
      </c>
      <c r="M35" t="s">
        <v>120</v>
      </c>
      <c r="N35" t="s">
        <v>53</v>
      </c>
      <c r="O35" s="18">
        <v>12534011</v>
      </c>
    </row>
    <row r="36" spans="1:16" ht="14.4">
      <c r="A36" s="11" t="s">
        <v>82</v>
      </c>
      <c r="B36" s="11"/>
      <c r="C36" s="24"/>
      <c r="D36" s="11"/>
      <c r="E36" s="11"/>
      <c r="F36" s="12">
        <f>SUBTOTAL(109,Table32[Selling price])</f>
        <v>20067.898900000004</v>
      </c>
      <c r="G36" s="12"/>
      <c r="H36" s="12"/>
      <c r="I36" s="11"/>
      <c r="J36" s="12">
        <f>SUBTOTAL(109,Table32[Cost price])</f>
        <v>4458.6000000000004</v>
      </c>
      <c r="K36" s="13" t="e">
        <f>SUBTOTAL(101,Table32[[Margin ]])</f>
        <v>#VALUE!</v>
      </c>
      <c r="L36" s="12" t="e">
        <f>SUBTOTAL(109,Table32[[Profit ]])</f>
        <v>#VALUE!</v>
      </c>
      <c r="M36" s="11"/>
      <c r="N36" s="11"/>
      <c r="O36" s="11"/>
      <c r="P36" s="11"/>
    </row>
    <row r="38" spans="1:16" ht="14.4"/>
    <row r="39" spans="1:16" ht="14.4">
      <c r="G39" s="7"/>
    </row>
    <row r="40" spans="1:16" ht="14.4"/>
    <row r="41" spans="1:16" ht="14.4"/>
    <row r="42" spans="1:16" ht="14.4"/>
    <row r="43" spans="1:16" ht="14.4">
      <c r="H43" s="7"/>
    </row>
    <row r="44" spans="1:16" ht="14.4"/>
    <row r="45" spans="1:16" ht="14.4"/>
    <row r="46" spans="1:16" ht="14.4"/>
    <row r="47" spans="1:16" ht="14.4"/>
    <row r="48" spans="1:16" ht="14.4"/>
    <row r="49" ht="14.4"/>
    <row r="50" ht="14.4"/>
    <row r="51" ht="14.4"/>
    <row r="52" ht="14.4"/>
    <row r="53" ht="14.4"/>
    <row r="54" ht="14.4"/>
    <row r="55" ht="14.4"/>
    <row r="56" ht="14.4"/>
    <row r="57" ht="14.4"/>
    <row r="58" ht="14.4"/>
  </sheetData>
  <hyperlinks>
    <hyperlink ref="O7" r:id="rId1" display="https://hub.floward.io/order/12646365" xr:uid="{374AD7DD-A14A-4EF7-8447-2F85572864E3}"/>
    <hyperlink ref="O8" r:id="rId2" display="https://hub.floward.io/order/12645154" xr:uid="{020BFE79-5D5F-42DB-972F-B7D114E114D6}"/>
    <hyperlink ref="O9" r:id="rId3" display="https://hub.floward.io/order/12638124" xr:uid="{BA58CA41-83C4-4F59-B11B-506E94A68CDF}"/>
    <hyperlink ref="O5" r:id="rId4" display="https://hub.floward.io/order/12635378" xr:uid="{C530CC16-71EA-40D0-BBA3-601D0F7503D8}"/>
    <hyperlink ref="O12" r:id="rId5" display="https://hub.floward.io/order/12676931" xr:uid="{562F3097-8498-456B-826B-C4369B2C0171}"/>
    <hyperlink ref="O11" r:id="rId6" display="https://hub.floward.io/order/12667261" xr:uid="{D0F70A90-0366-4598-BB6D-6D95E68B2398}"/>
    <hyperlink ref="O13" r:id="rId7" display="https://hub.floward.io/order/12709104" xr:uid="{7CBB84B8-05F5-4167-805E-79356BDB8564}"/>
    <hyperlink ref="O14" r:id="rId8" display="https://hub.floward.io/order/12718837" xr:uid="{4548EC06-BE39-4482-AB51-F00CFA0BA74E}"/>
    <hyperlink ref="O18" r:id="rId9" display="https://hub.floward.io/order/12717270" xr:uid="{32867E13-66C2-4C48-AA19-28BDB04DA28B}"/>
    <hyperlink ref="O15" r:id="rId10" display="https://hub.floward.io/order/12717115" xr:uid="{C9BAC5E2-ED43-4C37-B8BD-5925672E68DE}"/>
    <hyperlink ref="O19" r:id="rId11" display="https://hub.floward.io/order/12743396" xr:uid="{1C14E3A3-90BD-4845-B40F-4F371BAC21B7}"/>
    <hyperlink ref="O20" r:id="rId12" display="https://hub.floward.io/order/12751373" xr:uid="{4A18E5C6-442C-4776-B201-8AC3ED7BF450}"/>
    <hyperlink ref="O25" r:id="rId13" display="https://hub.floward.io/order/12780525" xr:uid="{5557297B-5354-4A5A-8621-122C33EAE3CD}"/>
    <hyperlink ref="O26" r:id="rId14" display="https://hub.floward.io/order/12789816" xr:uid="{D63D39C6-4659-4C0F-9651-789E5678953F}"/>
    <hyperlink ref="O27" r:id="rId15" display="https://hub.floward.io/order/12783352" xr:uid="{932947B1-6A04-4522-BC2D-023FCD25CB62}"/>
    <hyperlink ref="O24" r:id="rId16" display="https://hub.floward.io/order/12781313" xr:uid="{754D7755-A840-4572-90B6-7B1E841230A0}"/>
    <hyperlink ref="O21" r:id="rId17" display="https://hub.floward.io/order/12764966" xr:uid="{6D4A7E61-DC43-4EB0-BE2D-DEFC1574A40C}"/>
    <hyperlink ref="O22" r:id="rId18" display="https://hub.floward.io/order/12764318" xr:uid="{2E98243B-D0D0-4F1A-8790-50CB8235770D}"/>
    <hyperlink ref="O35" r:id="rId19" display="https://hub.floward.io/order/12534011" xr:uid="{E8BF3E56-A835-44D4-89B8-437D82075CA8}"/>
    <hyperlink ref="O29" r:id="rId20" display="https://hub.floward.io/order/12820284" xr:uid="{134D1F16-48FA-4F1B-BAC5-C77BB3FF6199}"/>
    <hyperlink ref="O30" r:id="rId21" display="https://hub.floward.io/order/12819357" xr:uid="{8B66D3CB-103D-4A05-B527-A93AC864259D}"/>
    <hyperlink ref="O31" r:id="rId22" display="https://hub.floward.io/order/12850048" xr:uid="{11F69A20-7A1F-44C3-BA3A-243A702D10D2}"/>
    <hyperlink ref="O32" r:id="rId23" display="https://hub.floward.io/order/12850270" xr:uid="{7DF11F22-3209-49B9-95D5-4BFEF65686DF}"/>
    <hyperlink ref="O33" r:id="rId24" display="https://hub.floward.io/order/12840935" xr:uid="{45075C7D-F6B2-4D25-A600-8E9ECDFFAC6C}"/>
    <hyperlink ref="O34" r:id="rId25" display="https://hub.floward.io/order/12871631" xr:uid="{409E2AE1-9805-4AA4-9D71-85F69F608BFD}"/>
  </hyperlinks>
  <pageMargins left="0.7" right="0.7" top="0.75" bottom="0.75" header="0.3" footer="0.3"/>
  <pageSetup paperSize="9" orientation="portrait" r:id="rId26"/>
  <tableParts count="1">
    <tablePart r:id="rId2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B730-8BD7-4E81-B959-CBC50F207343}">
  <dimension ref="A1:T38"/>
  <sheetViews>
    <sheetView topLeftCell="E2" workbookViewId="0">
      <selection activeCell="J14" sqref="J14"/>
    </sheetView>
  </sheetViews>
  <sheetFormatPr defaultColWidth="23.5546875" defaultRowHeight="14.4" outlineLevelRow="1"/>
  <cols>
    <col min="4" max="4" width="23.5546875" style="36"/>
  </cols>
  <sheetData>
    <row r="1" spans="1:20" s="26" customFormat="1">
      <c r="B1" s="27"/>
      <c r="C1" s="28" t="s">
        <v>121</v>
      </c>
      <c r="D1" s="29"/>
      <c r="E1" s="28"/>
      <c r="F1" s="457" t="s">
        <v>122</v>
      </c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30" t="s">
        <v>123</v>
      </c>
      <c r="S1" s="30" t="s">
        <v>124</v>
      </c>
      <c r="T1" s="30" t="s">
        <v>125</v>
      </c>
    </row>
    <row r="2" spans="1:20" s="31" customFormat="1">
      <c r="B2" s="32"/>
      <c r="C2" s="31" t="s">
        <v>126</v>
      </c>
      <c r="D2" s="34"/>
      <c r="F2" s="33"/>
      <c r="G2" s="34"/>
    </row>
    <row r="3" spans="1:20">
      <c r="B3" s="35"/>
      <c r="C3" t="s">
        <v>127</v>
      </c>
      <c r="F3" s="14"/>
      <c r="G3" s="36"/>
    </row>
    <row r="4" spans="1:20" s="37" customFormat="1">
      <c r="B4" s="38" t="s">
        <v>128</v>
      </c>
      <c r="C4" s="39" t="s">
        <v>129</v>
      </c>
      <c r="D4" s="40" t="s">
        <v>47</v>
      </c>
      <c r="E4" s="40" t="s">
        <v>130</v>
      </c>
      <c r="F4" s="41" t="s">
        <v>131</v>
      </c>
      <c r="G4" s="40" t="s">
        <v>132</v>
      </c>
      <c r="H4" s="39" t="s">
        <v>133</v>
      </c>
      <c r="I4" s="39" t="s">
        <v>134</v>
      </c>
      <c r="J4" s="39" t="s">
        <v>135</v>
      </c>
      <c r="K4" s="39" t="s">
        <v>136</v>
      </c>
      <c r="L4" s="39" t="s">
        <v>137</v>
      </c>
      <c r="M4" s="39" t="s">
        <v>138</v>
      </c>
      <c r="N4" s="39" t="s">
        <v>139</v>
      </c>
      <c r="O4" s="39" t="s">
        <v>140</v>
      </c>
      <c r="P4" s="39" t="s">
        <v>141</v>
      </c>
      <c r="Q4" s="39" t="s">
        <v>142</v>
      </c>
      <c r="R4" s="39"/>
      <c r="S4" s="39"/>
      <c r="T4" s="39"/>
    </row>
    <row r="5" spans="1:20" s="42" customFormat="1">
      <c r="A5" s="42" t="s">
        <v>143</v>
      </c>
      <c r="B5" s="43">
        <v>5</v>
      </c>
      <c r="C5" s="44" t="s">
        <v>144</v>
      </c>
      <c r="D5" s="46"/>
      <c r="E5" s="45"/>
      <c r="F5" s="45"/>
      <c r="G5" s="85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</row>
    <row r="6" spans="1:20" s="47" customFormat="1">
      <c r="B6" s="48">
        <v>5.0999999999999996</v>
      </c>
      <c r="C6" s="81" t="s">
        <v>145</v>
      </c>
      <c r="D6" s="87" t="s">
        <v>146</v>
      </c>
      <c r="E6" s="49" t="s">
        <v>147</v>
      </c>
      <c r="F6" s="67">
        <f>GETPIVOTDATA("Selling price",Pivot!$A$3,"Week","W1","Type","3PL")*2.6</f>
        <v>0</v>
      </c>
      <c r="G6" s="86">
        <f>GETPIVOTDATA("Selling price",Pivot!$A$3,"Week","W2","Type","Event ")*2.6</f>
        <v>1144</v>
      </c>
      <c r="H6" s="84">
        <f>GETPIVOTDATA("Selling price",Pivot!$A$3,"Week","W3","Type","Event ")*2.6</f>
        <v>874.05499999999995</v>
      </c>
      <c r="I6" s="93">
        <v>21.9</v>
      </c>
      <c r="J6" s="94"/>
      <c r="K6" s="94">
        <v>1373</v>
      </c>
      <c r="L6" s="50"/>
      <c r="M6" s="50"/>
      <c r="N6" s="50"/>
      <c r="O6" s="50"/>
      <c r="P6" s="50"/>
      <c r="Q6" s="50"/>
      <c r="R6" s="50" t="s">
        <v>148</v>
      </c>
      <c r="S6" s="50" t="s">
        <v>149</v>
      </c>
      <c r="T6" s="50" t="s">
        <v>150</v>
      </c>
    </row>
    <row r="7" spans="1:20" s="47" customFormat="1" outlineLevel="1">
      <c r="B7" s="51" t="s">
        <v>151</v>
      </c>
      <c r="C7" s="52" t="s">
        <v>152</v>
      </c>
      <c r="D7" s="88"/>
      <c r="E7" s="49">
        <v>500</v>
      </c>
      <c r="F7" s="53"/>
      <c r="G7" s="53"/>
      <c r="H7" s="54">
        <f>SUMIFS('JAN 2025'!F:F,'JAN 2025'!G:G,OKRs!D6,'JAN 2025'!D:D,OKRs!F4)</f>
        <v>0</v>
      </c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s="47" customFormat="1" outlineLevel="1">
      <c r="B8" s="51" t="s">
        <v>153</v>
      </c>
      <c r="C8" s="52" t="s">
        <v>154</v>
      </c>
      <c r="D8" s="88"/>
      <c r="E8" s="55">
        <v>0.04</v>
      </c>
      <c r="F8" s="53"/>
      <c r="G8" s="53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s="47" customFormat="1" outlineLevel="1">
      <c r="B9" s="51" t="s">
        <v>155</v>
      </c>
      <c r="C9" s="52" t="s">
        <v>156</v>
      </c>
      <c r="D9" s="88"/>
      <c r="E9" s="56">
        <v>20000</v>
      </c>
      <c r="F9" s="53"/>
      <c r="G9" s="53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s="47" customFormat="1" outlineLevel="1">
      <c r="B10" s="51" t="s">
        <v>157</v>
      </c>
      <c r="C10" s="52" t="s">
        <v>158</v>
      </c>
      <c r="D10" s="88"/>
      <c r="E10" s="57">
        <v>15</v>
      </c>
      <c r="F10" s="58"/>
      <c r="G10" s="53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</row>
    <row r="11" spans="1:20" s="47" customFormat="1">
      <c r="B11" s="48">
        <v>5.2</v>
      </c>
      <c r="C11" s="81" t="s">
        <v>159</v>
      </c>
      <c r="D11" s="87" t="s">
        <v>45</v>
      </c>
      <c r="E11" s="49" t="s">
        <v>160</v>
      </c>
      <c r="F11" s="67">
        <f>GETPIVOTDATA("Selling price",Pivot!$A$3,"Week","W1","Type","Gifting")*2.6</f>
        <v>19861.725000000002</v>
      </c>
      <c r="G11" s="59">
        <f>GETPIVOTDATA("Selling price",Pivot!$A$3,"Week","W2","Type","Gifting")*2.6</f>
        <v>640.77</v>
      </c>
      <c r="H11" s="50">
        <f>GETPIVOTDATA("Selling price",Pivot!$A$3,"Week","W3","Type","Gifting")*2.6</f>
        <v>331.11</v>
      </c>
      <c r="I11" s="50">
        <v>80.58</v>
      </c>
      <c r="J11" s="94"/>
      <c r="K11" s="94">
        <v>44</v>
      </c>
      <c r="L11" s="50"/>
      <c r="M11" s="50"/>
      <c r="N11" s="50"/>
      <c r="O11" s="50"/>
      <c r="P11" s="50"/>
      <c r="Q11" s="50"/>
      <c r="R11" s="50" t="s">
        <v>161</v>
      </c>
      <c r="S11" s="50" t="s">
        <v>162</v>
      </c>
      <c r="T11" s="50" t="s">
        <v>163</v>
      </c>
    </row>
    <row r="12" spans="1:20" s="47" customFormat="1" outlineLevel="1">
      <c r="B12" s="51" t="s">
        <v>164</v>
      </c>
      <c r="C12" s="52" t="s">
        <v>165</v>
      </c>
      <c r="D12" s="88"/>
      <c r="E12" s="49">
        <v>3700</v>
      </c>
      <c r="F12" s="58"/>
      <c r="G12" s="60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</row>
    <row r="13" spans="1:20" s="47" customFormat="1" outlineLevel="1">
      <c r="B13" s="51" t="s">
        <v>166</v>
      </c>
      <c r="C13" s="52" t="s">
        <v>167</v>
      </c>
      <c r="D13" s="88"/>
      <c r="E13" s="55">
        <v>0.06</v>
      </c>
      <c r="F13" s="61"/>
      <c r="G13" s="62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</row>
    <row r="14" spans="1:20" s="47" customFormat="1" outlineLevel="1">
      <c r="B14" s="51" t="s">
        <v>168</v>
      </c>
      <c r="C14" s="52" t="s">
        <v>169</v>
      </c>
      <c r="D14" s="88"/>
      <c r="E14" s="63">
        <f>120*1.1</f>
        <v>132</v>
      </c>
      <c r="F14" s="64"/>
      <c r="G14" s="6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 spans="1:20" s="47" customFormat="1" outlineLevel="1">
      <c r="B15" s="51" t="s">
        <v>170</v>
      </c>
      <c r="C15" s="52" t="s">
        <v>171</v>
      </c>
      <c r="D15" s="88"/>
      <c r="E15" s="49">
        <v>15</v>
      </c>
      <c r="F15" s="65"/>
      <c r="G15" s="66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</row>
    <row r="16" spans="1:20" s="47" customFormat="1">
      <c r="B16" s="48">
        <v>5.3</v>
      </c>
      <c r="C16" s="81" t="s">
        <v>172</v>
      </c>
      <c r="D16" s="87" t="s">
        <v>173</v>
      </c>
      <c r="E16" s="49" t="s">
        <v>174</v>
      </c>
      <c r="F16" s="67">
        <f>SUMIFS(Table32[Selling price],Table32[Type],OKRs!D16,Table32[Week],F4)</f>
        <v>0</v>
      </c>
      <c r="G16" s="68">
        <v>0</v>
      </c>
      <c r="H16" s="50">
        <v>0</v>
      </c>
      <c r="I16" s="93">
        <v>0</v>
      </c>
      <c r="J16" s="50"/>
      <c r="K16" s="50"/>
      <c r="L16" s="50"/>
      <c r="M16" s="50"/>
      <c r="N16" s="50"/>
      <c r="O16" s="50"/>
      <c r="P16" s="50"/>
      <c r="Q16" s="50"/>
      <c r="R16" s="50" t="s">
        <v>175</v>
      </c>
      <c r="S16" s="50" t="s">
        <v>176</v>
      </c>
      <c r="T16" s="50" t="s">
        <v>177</v>
      </c>
    </row>
    <row r="17" spans="2:20" s="47" customFormat="1" outlineLevel="1">
      <c r="B17" s="51" t="s">
        <v>178</v>
      </c>
      <c r="C17" s="82" t="s">
        <v>179</v>
      </c>
      <c r="D17" s="89"/>
      <c r="E17" s="55">
        <v>0.95</v>
      </c>
      <c r="F17" s="53"/>
      <c r="G17" s="53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</row>
    <row r="18" spans="2:20" s="47" customFormat="1" outlineLevel="1">
      <c r="B18" s="51" t="s">
        <v>180</v>
      </c>
      <c r="C18" s="82" t="s">
        <v>181</v>
      </c>
      <c r="D18" s="89"/>
      <c r="E18" s="49">
        <v>14</v>
      </c>
      <c r="F18" s="69"/>
      <c r="G18" s="69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2:20" s="47" customFormat="1" outlineLevel="1">
      <c r="B19" s="51" t="s">
        <v>182</v>
      </c>
      <c r="C19" s="82" t="s">
        <v>183</v>
      </c>
      <c r="D19" s="89"/>
      <c r="E19" s="55">
        <v>0.95</v>
      </c>
      <c r="F19" s="70"/>
      <c r="G19" s="70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2:20" s="47" customFormat="1" outlineLevel="1">
      <c r="B20" s="51" t="s">
        <v>184</v>
      </c>
      <c r="C20" s="82" t="s">
        <v>185</v>
      </c>
      <c r="D20" s="89"/>
      <c r="E20" s="55">
        <v>0.02</v>
      </c>
      <c r="F20" s="53"/>
      <c r="G20" s="53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2:20" s="47" customFormat="1" outlineLevel="1">
      <c r="B21" s="51" t="s">
        <v>186</v>
      </c>
      <c r="C21" s="52" t="s">
        <v>187</v>
      </c>
      <c r="D21" s="88"/>
      <c r="E21" s="55" t="s">
        <v>188</v>
      </c>
      <c r="F21" s="53"/>
      <c r="G21" s="53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2:20" s="47" customFormat="1">
      <c r="B22" s="48">
        <v>5.4</v>
      </c>
      <c r="C22" s="81" t="s">
        <v>189</v>
      </c>
      <c r="D22" s="87" t="s">
        <v>44</v>
      </c>
      <c r="E22" s="49" t="s">
        <v>190</v>
      </c>
      <c r="F22" s="67">
        <f>SUMIFS(Table32[Selling price],Table32[Type],OKRs!D22,Table32[Week],OKRs!F4)</f>
        <v>0</v>
      </c>
      <c r="G22" s="68">
        <f>GETPIVOTDATA("Selling price",Pivot!$A$3,"Week","W2","Type","3PL")*2.6</f>
        <v>268.43700000000001</v>
      </c>
      <c r="H22" s="50">
        <v>0</v>
      </c>
      <c r="I22" s="50">
        <v>87.22</v>
      </c>
      <c r="J22" s="50"/>
      <c r="K22" s="50"/>
      <c r="L22" s="50"/>
      <c r="M22" s="50"/>
      <c r="N22" s="50"/>
      <c r="O22" s="50"/>
      <c r="P22" s="50"/>
      <c r="Q22" s="50"/>
      <c r="R22" s="50" t="s">
        <v>191</v>
      </c>
      <c r="S22" s="50" t="s">
        <v>192</v>
      </c>
      <c r="T22" s="50" t="s">
        <v>192</v>
      </c>
    </row>
    <row r="23" spans="2:20" s="47" customFormat="1" outlineLevel="1">
      <c r="B23" s="51" t="s">
        <v>193</v>
      </c>
      <c r="C23" s="47" t="s">
        <v>194</v>
      </c>
      <c r="D23" s="60"/>
      <c r="E23" s="71">
        <v>1</v>
      </c>
      <c r="F23" s="53"/>
      <c r="G23" s="53"/>
    </row>
    <row r="24" spans="2:20" s="47" customFormat="1" outlineLevel="1">
      <c r="B24" s="51" t="s">
        <v>195</v>
      </c>
      <c r="C24" s="47" t="s">
        <v>196</v>
      </c>
      <c r="D24" s="60"/>
      <c r="E24" s="72">
        <f>3*12</f>
        <v>36</v>
      </c>
      <c r="F24" s="53"/>
      <c r="G24" s="53"/>
    </row>
    <row r="25" spans="2:20" s="47" customFormat="1" outlineLevel="1">
      <c r="B25" s="51" t="s">
        <v>197</v>
      </c>
      <c r="C25" s="47" t="s">
        <v>198</v>
      </c>
      <c r="D25" s="60"/>
      <c r="E25" s="73">
        <v>1</v>
      </c>
      <c r="F25" s="53"/>
      <c r="G25" s="53"/>
    </row>
    <row r="38" spans="9:9">
      <c r="I38" s="7">
        <f>J11*2.6</f>
        <v>0</v>
      </c>
    </row>
  </sheetData>
  <mergeCells count="1">
    <mergeCell ref="F1:Q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3FC4-FEA7-4162-A074-BCE5950ECC4A}">
  <dimension ref="A1:G618"/>
  <sheetViews>
    <sheetView topLeftCell="A332" workbookViewId="0"/>
  </sheetViews>
  <sheetFormatPr defaultRowHeight="14.4"/>
  <cols>
    <col min="1" max="1" width="10.6640625" style="36" bestFit="1" customWidth="1"/>
    <col min="2" max="2" width="9.109375" style="36"/>
    <col min="3" max="3" width="10.88671875" style="36" bestFit="1" customWidth="1"/>
    <col min="4" max="4" width="9.109375" style="36"/>
    <col min="5" max="5" width="8.88671875" bestFit="1" customWidth="1"/>
    <col min="6" max="6" width="11.109375" bestFit="1" customWidth="1"/>
    <col min="7" max="7" width="17.33203125" bestFit="1" customWidth="1"/>
    <col min="8" max="8" width="14.6640625" customWidth="1"/>
  </cols>
  <sheetData>
    <row r="1" spans="1:7">
      <c r="A1" s="74" t="s">
        <v>199</v>
      </c>
      <c r="B1" s="74" t="s">
        <v>200</v>
      </c>
      <c r="C1" s="74" t="s">
        <v>0</v>
      </c>
      <c r="E1" s="74" t="s">
        <v>201</v>
      </c>
      <c r="F1" s="74" t="s">
        <v>202</v>
      </c>
      <c r="G1" s="74" t="s">
        <v>203</v>
      </c>
    </row>
    <row r="2" spans="1:7">
      <c r="A2" s="75">
        <v>45655</v>
      </c>
      <c r="B2" s="36" t="s">
        <v>39</v>
      </c>
      <c r="C2" s="36" t="s">
        <v>204</v>
      </c>
      <c r="E2" t="s">
        <v>205</v>
      </c>
      <c r="F2" s="36" t="e" vm="1">
        <v>#VALUE!</v>
      </c>
      <c r="G2" s="76" cm="1">
        <f t="array" aca="1" ref="G2" ca="1">_FV(F2,"Price")</f>
        <v>0.2666</v>
      </c>
    </row>
    <row r="3" spans="1:7">
      <c r="A3" s="75">
        <v>45656</v>
      </c>
      <c r="B3" s="36" t="s">
        <v>39</v>
      </c>
      <c r="C3" s="36" t="s">
        <v>204</v>
      </c>
    </row>
    <row r="4" spans="1:7">
      <c r="A4" s="75">
        <v>45657</v>
      </c>
      <c r="B4" s="36" t="s">
        <v>39</v>
      </c>
      <c r="C4" s="36" t="s">
        <v>204</v>
      </c>
    </row>
    <row r="5" spans="1:7">
      <c r="A5" s="75">
        <v>45658</v>
      </c>
      <c r="B5" s="36" t="s">
        <v>39</v>
      </c>
      <c r="C5" s="36" t="s">
        <v>204</v>
      </c>
    </row>
    <row r="6" spans="1:7">
      <c r="A6" s="75">
        <v>45659</v>
      </c>
      <c r="B6" s="36" t="s">
        <v>39</v>
      </c>
      <c r="C6" s="36" t="s">
        <v>204</v>
      </c>
    </row>
    <row r="7" spans="1:7">
      <c r="A7" s="75">
        <v>45660</v>
      </c>
      <c r="B7" s="36" t="s">
        <v>39</v>
      </c>
      <c r="C7" s="36" t="s">
        <v>204</v>
      </c>
    </row>
    <row r="8" spans="1:7">
      <c r="A8" s="75">
        <v>45661</v>
      </c>
      <c r="B8" s="36" t="s">
        <v>39</v>
      </c>
      <c r="C8" s="36" t="s">
        <v>204</v>
      </c>
    </row>
    <row r="9" spans="1:7">
      <c r="A9" s="77">
        <v>45662</v>
      </c>
      <c r="B9" s="78" t="s">
        <v>40</v>
      </c>
      <c r="C9" s="78" t="s">
        <v>204</v>
      </c>
    </row>
    <row r="10" spans="1:7">
      <c r="A10" s="75">
        <v>45663</v>
      </c>
      <c r="B10" s="36" t="s">
        <v>40</v>
      </c>
      <c r="C10" s="36" t="s">
        <v>204</v>
      </c>
    </row>
    <row r="11" spans="1:7">
      <c r="A11" s="75">
        <v>45664</v>
      </c>
      <c r="B11" s="36" t="s">
        <v>40</v>
      </c>
      <c r="C11" s="36" t="s">
        <v>204</v>
      </c>
    </row>
    <row r="12" spans="1:7">
      <c r="A12" s="75">
        <v>45665</v>
      </c>
      <c r="B12" s="36" t="s">
        <v>40</v>
      </c>
      <c r="C12" s="36" t="s">
        <v>204</v>
      </c>
    </row>
    <row r="13" spans="1:7">
      <c r="A13" s="75">
        <v>45666</v>
      </c>
      <c r="B13" s="36" t="s">
        <v>40</v>
      </c>
      <c r="C13" s="36" t="s">
        <v>204</v>
      </c>
    </row>
    <row r="14" spans="1:7">
      <c r="A14" s="75">
        <v>45667</v>
      </c>
      <c r="B14" s="36" t="s">
        <v>40</v>
      </c>
      <c r="C14" s="36" t="s">
        <v>204</v>
      </c>
    </row>
    <row r="15" spans="1:7">
      <c r="A15" s="75">
        <v>45668</v>
      </c>
      <c r="B15" s="36" t="s">
        <v>40</v>
      </c>
      <c r="C15" s="36" t="s">
        <v>204</v>
      </c>
    </row>
    <row r="16" spans="1:7">
      <c r="A16" s="77">
        <v>45669</v>
      </c>
      <c r="B16" s="78" t="s">
        <v>41</v>
      </c>
      <c r="C16" s="78" t="s">
        <v>204</v>
      </c>
    </row>
    <row r="17" spans="1:3">
      <c r="A17" s="75">
        <v>45670</v>
      </c>
      <c r="B17" s="36" t="s">
        <v>41</v>
      </c>
      <c r="C17" s="36" t="s">
        <v>204</v>
      </c>
    </row>
    <row r="18" spans="1:3">
      <c r="A18" s="75">
        <v>45671</v>
      </c>
      <c r="B18" s="36" t="s">
        <v>41</v>
      </c>
      <c r="C18" s="36" t="s">
        <v>204</v>
      </c>
    </row>
    <row r="19" spans="1:3">
      <c r="A19" s="75">
        <v>45672</v>
      </c>
      <c r="B19" s="36" t="s">
        <v>41</v>
      </c>
      <c r="C19" s="36" t="s">
        <v>204</v>
      </c>
    </row>
    <row r="20" spans="1:3">
      <c r="A20" s="75">
        <v>45673</v>
      </c>
      <c r="B20" s="36" t="s">
        <v>41</v>
      </c>
      <c r="C20" s="36" t="s">
        <v>204</v>
      </c>
    </row>
    <row r="21" spans="1:3">
      <c r="A21" s="75">
        <v>45674</v>
      </c>
      <c r="B21" s="36" t="s">
        <v>41</v>
      </c>
      <c r="C21" s="36" t="s">
        <v>204</v>
      </c>
    </row>
    <row r="22" spans="1:3">
      <c r="A22" s="75">
        <v>45675</v>
      </c>
      <c r="B22" s="36" t="s">
        <v>41</v>
      </c>
      <c r="C22" s="36" t="s">
        <v>204</v>
      </c>
    </row>
    <row r="23" spans="1:3">
      <c r="A23" s="77">
        <v>45676</v>
      </c>
      <c r="B23" s="78" t="s">
        <v>206</v>
      </c>
      <c r="C23" s="78" t="s">
        <v>204</v>
      </c>
    </row>
    <row r="24" spans="1:3">
      <c r="A24" s="75">
        <v>45677</v>
      </c>
      <c r="B24" s="36" t="s">
        <v>206</v>
      </c>
      <c r="C24" s="36" t="s">
        <v>204</v>
      </c>
    </row>
    <row r="25" spans="1:3">
      <c r="A25" s="75">
        <v>45678</v>
      </c>
      <c r="B25" s="36" t="s">
        <v>206</v>
      </c>
      <c r="C25" s="36" t="s">
        <v>204</v>
      </c>
    </row>
    <row r="26" spans="1:3">
      <c r="A26" s="75">
        <v>45679</v>
      </c>
      <c r="B26" s="36" t="s">
        <v>206</v>
      </c>
      <c r="C26" s="36" t="s">
        <v>204</v>
      </c>
    </row>
    <row r="27" spans="1:3">
      <c r="A27" s="75">
        <v>45680</v>
      </c>
      <c r="B27" s="36" t="s">
        <v>206</v>
      </c>
      <c r="C27" s="36" t="s">
        <v>204</v>
      </c>
    </row>
    <row r="28" spans="1:3">
      <c r="A28" s="75">
        <v>45681</v>
      </c>
      <c r="B28" s="36" t="s">
        <v>206</v>
      </c>
      <c r="C28" s="36" t="s">
        <v>204</v>
      </c>
    </row>
    <row r="29" spans="1:3">
      <c r="A29" s="75">
        <v>45682</v>
      </c>
      <c r="B29" s="36" t="s">
        <v>206</v>
      </c>
      <c r="C29" s="36" t="s">
        <v>204</v>
      </c>
    </row>
    <row r="30" spans="1:3">
      <c r="A30" s="77">
        <v>45683</v>
      </c>
      <c r="B30" s="78" t="s">
        <v>207</v>
      </c>
      <c r="C30" s="78" t="s">
        <v>204</v>
      </c>
    </row>
    <row r="31" spans="1:3">
      <c r="A31" s="75">
        <v>45684</v>
      </c>
      <c r="B31" s="36" t="s">
        <v>207</v>
      </c>
      <c r="C31" s="36" t="s">
        <v>204</v>
      </c>
    </row>
    <row r="32" spans="1:3">
      <c r="A32" s="75">
        <v>45685</v>
      </c>
      <c r="B32" s="36" t="s">
        <v>207</v>
      </c>
      <c r="C32" s="36" t="s">
        <v>204</v>
      </c>
    </row>
    <row r="33" spans="1:3">
      <c r="A33" s="75">
        <v>45686</v>
      </c>
      <c r="B33" s="36" t="s">
        <v>207</v>
      </c>
      <c r="C33" s="36" t="s">
        <v>204</v>
      </c>
    </row>
    <row r="34" spans="1:3">
      <c r="A34" s="75">
        <v>45687</v>
      </c>
      <c r="B34" s="36" t="s">
        <v>207</v>
      </c>
      <c r="C34" s="36" t="s">
        <v>204</v>
      </c>
    </row>
    <row r="35" spans="1:3">
      <c r="A35" s="75">
        <v>45688</v>
      </c>
      <c r="B35" s="36" t="s">
        <v>207</v>
      </c>
      <c r="C35" s="36" t="s">
        <v>204</v>
      </c>
    </row>
    <row r="36" spans="1:3">
      <c r="A36" s="79">
        <v>45689</v>
      </c>
      <c r="B36" s="80" t="s">
        <v>207</v>
      </c>
      <c r="C36" s="80" t="s">
        <v>208</v>
      </c>
    </row>
    <row r="37" spans="1:3">
      <c r="A37" s="75">
        <v>45690</v>
      </c>
      <c r="B37" s="36" t="s">
        <v>209</v>
      </c>
      <c r="C37" s="36" t="s">
        <v>208</v>
      </c>
    </row>
    <row r="38" spans="1:3">
      <c r="A38" s="75">
        <v>45691</v>
      </c>
      <c r="B38" s="36" t="s">
        <v>209</v>
      </c>
      <c r="C38" s="36" t="s">
        <v>208</v>
      </c>
    </row>
    <row r="39" spans="1:3">
      <c r="A39" s="75">
        <v>45692</v>
      </c>
      <c r="B39" s="36" t="s">
        <v>209</v>
      </c>
      <c r="C39" s="36" t="s">
        <v>208</v>
      </c>
    </row>
    <row r="40" spans="1:3">
      <c r="A40" s="75">
        <v>45693</v>
      </c>
      <c r="B40" s="36" t="s">
        <v>209</v>
      </c>
      <c r="C40" s="36" t="s">
        <v>208</v>
      </c>
    </row>
    <row r="41" spans="1:3">
      <c r="A41" s="75">
        <v>45694</v>
      </c>
      <c r="B41" s="36" t="s">
        <v>209</v>
      </c>
      <c r="C41" s="36" t="s">
        <v>208</v>
      </c>
    </row>
    <row r="42" spans="1:3">
      <c r="A42" s="75">
        <v>45695</v>
      </c>
      <c r="B42" s="36" t="s">
        <v>209</v>
      </c>
      <c r="C42" s="36" t="s">
        <v>208</v>
      </c>
    </row>
    <row r="43" spans="1:3">
      <c r="A43" s="75">
        <v>45696</v>
      </c>
      <c r="B43" s="36" t="s">
        <v>209</v>
      </c>
      <c r="C43" s="36" t="s">
        <v>208</v>
      </c>
    </row>
    <row r="44" spans="1:3">
      <c r="A44" s="75">
        <v>45697</v>
      </c>
      <c r="B44" s="36" t="s">
        <v>210</v>
      </c>
      <c r="C44" s="36" t="s">
        <v>208</v>
      </c>
    </row>
    <row r="45" spans="1:3">
      <c r="A45" s="75">
        <v>45698</v>
      </c>
      <c r="B45" s="36" t="s">
        <v>210</v>
      </c>
      <c r="C45" s="36" t="s">
        <v>208</v>
      </c>
    </row>
    <row r="46" spans="1:3">
      <c r="A46" s="75">
        <v>45699</v>
      </c>
      <c r="B46" s="36" t="s">
        <v>210</v>
      </c>
      <c r="C46" s="36" t="s">
        <v>208</v>
      </c>
    </row>
    <row r="47" spans="1:3">
      <c r="A47" s="75">
        <v>45700</v>
      </c>
      <c r="B47" s="36" t="s">
        <v>210</v>
      </c>
      <c r="C47" s="36" t="s">
        <v>208</v>
      </c>
    </row>
    <row r="48" spans="1:3">
      <c r="A48" s="75">
        <v>45701</v>
      </c>
      <c r="B48" s="36" t="s">
        <v>210</v>
      </c>
      <c r="C48" s="36" t="s">
        <v>208</v>
      </c>
    </row>
    <row r="49" spans="1:3">
      <c r="A49" s="75">
        <v>45702</v>
      </c>
      <c r="B49" s="36" t="s">
        <v>210</v>
      </c>
      <c r="C49" s="36" t="s">
        <v>208</v>
      </c>
    </row>
    <row r="50" spans="1:3">
      <c r="A50" s="75">
        <v>45703</v>
      </c>
      <c r="B50" s="36" t="s">
        <v>210</v>
      </c>
      <c r="C50" s="36" t="s">
        <v>208</v>
      </c>
    </row>
    <row r="51" spans="1:3">
      <c r="A51" s="75">
        <v>45704</v>
      </c>
      <c r="B51" s="36" t="s">
        <v>211</v>
      </c>
      <c r="C51" s="36" t="s">
        <v>208</v>
      </c>
    </row>
    <row r="52" spans="1:3">
      <c r="A52" s="75">
        <v>45705</v>
      </c>
      <c r="B52" s="36" t="s">
        <v>211</v>
      </c>
      <c r="C52" s="36" t="s">
        <v>208</v>
      </c>
    </row>
    <row r="53" spans="1:3">
      <c r="A53" s="75">
        <v>45706</v>
      </c>
      <c r="B53" s="36" t="s">
        <v>211</v>
      </c>
      <c r="C53" s="36" t="s">
        <v>208</v>
      </c>
    </row>
    <row r="54" spans="1:3">
      <c r="A54" s="75">
        <v>45707</v>
      </c>
      <c r="B54" s="36" t="s">
        <v>211</v>
      </c>
      <c r="C54" s="36" t="s">
        <v>208</v>
      </c>
    </row>
    <row r="55" spans="1:3">
      <c r="A55" s="75">
        <v>45708</v>
      </c>
      <c r="B55" s="36" t="s">
        <v>211</v>
      </c>
      <c r="C55" s="36" t="s">
        <v>208</v>
      </c>
    </row>
    <row r="56" spans="1:3">
      <c r="A56" s="75">
        <v>45709</v>
      </c>
      <c r="B56" s="36" t="s">
        <v>211</v>
      </c>
      <c r="C56" s="36" t="s">
        <v>208</v>
      </c>
    </row>
    <row r="57" spans="1:3">
      <c r="A57" s="75">
        <v>45710</v>
      </c>
      <c r="B57" s="36" t="s">
        <v>211</v>
      </c>
      <c r="C57" s="36" t="s">
        <v>208</v>
      </c>
    </row>
    <row r="58" spans="1:3">
      <c r="A58" s="75">
        <v>45711</v>
      </c>
      <c r="B58" s="36" t="s">
        <v>212</v>
      </c>
      <c r="C58" s="36" t="s">
        <v>208</v>
      </c>
    </row>
    <row r="59" spans="1:3">
      <c r="A59" s="75">
        <v>45712</v>
      </c>
      <c r="B59" s="36" t="s">
        <v>212</v>
      </c>
      <c r="C59" s="36" t="s">
        <v>208</v>
      </c>
    </row>
    <row r="60" spans="1:3">
      <c r="A60" s="75">
        <v>45713</v>
      </c>
      <c r="B60" s="36" t="s">
        <v>212</v>
      </c>
      <c r="C60" s="36" t="s">
        <v>208</v>
      </c>
    </row>
    <row r="61" spans="1:3">
      <c r="A61" s="75">
        <v>45714</v>
      </c>
      <c r="B61" s="36" t="s">
        <v>212</v>
      </c>
      <c r="C61" s="36" t="s">
        <v>208</v>
      </c>
    </row>
    <row r="62" spans="1:3">
      <c r="A62" s="75">
        <v>45715</v>
      </c>
      <c r="B62" s="36" t="s">
        <v>212</v>
      </c>
      <c r="C62" s="36" t="s">
        <v>208</v>
      </c>
    </row>
    <row r="63" spans="1:3">
      <c r="A63" s="75">
        <v>45716</v>
      </c>
      <c r="B63" s="36" t="s">
        <v>212</v>
      </c>
      <c r="C63" s="36" t="s">
        <v>208</v>
      </c>
    </row>
    <row r="64" spans="1:3">
      <c r="A64" s="75">
        <v>45717</v>
      </c>
      <c r="B64" s="36" t="s">
        <v>212</v>
      </c>
      <c r="C64" s="36" t="s">
        <v>213</v>
      </c>
    </row>
    <row r="65" spans="1:3">
      <c r="A65" s="75">
        <v>45718</v>
      </c>
      <c r="B65" s="36" t="s">
        <v>214</v>
      </c>
      <c r="C65" s="36" t="s">
        <v>213</v>
      </c>
    </row>
    <row r="66" spans="1:3">
      <c r="A66" s="75">
        <v>45719</v>
      </c>
      <c r="B66" s="36" t="s">
        <v>214</v>
      </c>
      <c r="C66" s="36" t="s">
        <v>213</v>
      </c>
    </row>
    <row r="67" spans="1:3">
      <c r="A67" s="75">
        <v>45720</v>
      </c>
      <c r="B67" s="36" t="s">
        <v>214</v>
      </c>
      <c r="C67" s="36" t="s">
        <v>213</v>
      </c>
    </row>
    <row r="68" spans="1:3">
      <c r="A68" s="75">
        <v>45721</v>
      </c>
      <c r="B68" s="36" t="s">
        <v>214</v>
      </c>
      <c r="C68" s="36" t="s">
        <v>213</v>
      </c>
    </row>
    <row r="69" spans="1:3">
      <c r="A69" s="75">
        <v>45722</v>
      </c>
      <c r="B69" s="36" t="s">
        <v>214</v>
      </c>
      <c r="C69" s="36" t="s">
        <v>213</v>
      </c>
    </row>
    <row r="70" spans="1:3">
      <c r="A70" s="75">
        <v>45723</v>
      </c>
      <c r="B70" s="36" t="s">
        <v>214</v>
      </c>
      <c r="C70" s="36" t="s">
        <v>213</v>
      </c>
    </row>
    <row r="71" spans="1:3">
      <c r="A71" s="75">
        <v>45724</v>
      </c>
      <c r="B71" s="36" t="s">
        <v>214</v>
      </c>
      <c r="C71" s="36" t="s">
        <v>213</v>
      </c>
    </row>
    <row r="72" spans="1:3">
      <c r="A72" s="75">
        <v>45725</v>
      </c>
      <c r="B72" s="36" t="s">
        <v>215</v>
      </c>
      <c r="C72" s="36" t="s">
        <v>213</v>
      </c>
    </row>
    <row r="73" spans="1:3">
      <c r="A73" s="75">
        <v>45726</v>
      </c>
      <c r="B73" s="36" t="s">
        <v>215</v>
      </c>
      <c r="C73" s="36" t="s">
        <v>213</v>
      </c>
    </row>
    <row r="74" spans="1:3">
      <c r="A74" s="75">
        <v>45727</v>
      </c>
      <c r="B74" s="36" t="s">
        <v>215</v>
      </c>
      <c r="C74" s="36" t="s">
        <v>213</v>
      </c>
    </row>
    <row r="75" spans="1:3">
      <c r="A75" s="75">
        <v>45728</v>
      </c>
      <c r="B75" s="36" t="s">
        <v>215</v>
      </c>
      <c r="C75" s="36" t="s">
        <v>213</v>
      </c>
    </row>
    <row r="76" spans="1:3">
      <c r="A76" s="75">
        <v>45729</v>
      </c>
      <c r="B76" s="36" t="s">
        <v>215</v>
      </c>
      <c r="C76" s="36" t="s">
        <v>213</v>
      </c>
    </row>
    <row r="77" spans="1:3">
      <c r="A77" s="75">
        <v>45730</v>
      </c>
      <c r="B77" s="36" t="s">
        <v>215</v>
      </c>
      <c r="C77" s="36" t="s">
        <v>213</v>
      </c>
    </row>
    <row r="78" spans="1:3">
      <c r="A78" s="75">
        <v>45731</v>
      </c>
      <c r="B78" s="36" t="s">
        <v>215</v>
      </c>
      <c r="C78" s="36" t="s">
        <v>213</v>
      </c>
    </row>
    <row r="79" spans="1:3">
      <c r="A79" s="75">
        <v>45732</v>
      </c>
      <c r="B79" s="36" t="s">
        <v>216</v>
      </c>
      <c r="C79" s="36" t="s">
        <v>213</v>
      </c>
    </row>
    <row r="80" spans="1:3">
      <c r="A80" s="75">
        <v>45733</v>
      </c>
      <c r="B80" s="36" t="s">
        <v>216</v>
      </c>
      <c r="C80" s="36" t="s">
        <v>213</v>
      </c>
    </row>
    <row r="81" spans="1:3">
      <c r="A81" s="75">
        <v>45734</v>
      </c>
      <c r="B81" s="36" t="s">
        <v>216</v>
      </c>
      <c r="C81" s="36" t="s">
        <v>213</v>
      </c>
    </row>
    <row r="82" spans="1:3">
      <c r="A82" s="75">
        <v>45735</v>
      </c>
      <c r="B82" s="36" t="s">
        <v>216</v>
      </c>
      <c r="C82" s="36" t="s">
        <v>213</v>
      </c>
    </row>
    <row r="83" spans="1:3">
      <c r="A83" s="75">
        <v>45736</v>
      </c>
      <c r="B83" s="36" t="s">
        <v>216</v>
      </c>
      <c r="C83" s="36" t="s">
        <v>213</v>
      </c>
    </row>
    <row r="84" spans="1:3">
      <c r="A84" s="75">
        <v>45737</v>
      </c>
      <c r="B84" s="36" t="s">
        <v>216</v>
      </c>
      <c r="C84" s="36" t="s">
        <v>213</v>
      </c>
    </row>
    <row r="85" spans="1:3">
      <c r="A85" s="75">
        <v>45738</v>
      </c>
      <c r="B85" s="36" t="s">
        <v>216</v>
      </c>
      <c r="C85" s="36" t="s">
        <v>213</v>
      </c>
    </row>
    <row r="86" spans="1:3">
      <c r="A86" s="75">
        <v>45739</v>
      </c>
      <c r="B86" s="36" t="s">
        <v>217</v>
      </c>
      <c r="C86" s="36" t="s">
        <v>213</v>
      </c>
    </row>
    <row r="87" spans="1:3">
      <c r="A87" s="75">
        <v>45740</v>
      </c>
      <c r="B87" s="36" t="s">
        <v>217</v>
      </c>
      <c r="C87" s="36" t="s">
        <v>213</v>
      </c>
    </row>
    <row r="88" spans="1:3">
      <c r="A88" s="75">
        <v>45741</v>
      </c>
      <c r="B88" s="36" t="s">
        <v>217</v>
      </c>
      <c r="C88" s="36" t="s">
        <v>213</v>
      </c>
    </row>
    <row r="89" spans="1:3">
      <c r="A89" s="75">
        <v>45742</v>
      </c>
      <c r="B89" s="36" t="s">
        <v>217</v>
      </c>
      <c r="C89" s="36" t="s">
        <v>213</v>
      </c>
    </row>
    <row r="90" spans="1:3">
      <c r="A90" s="75">
        <v>45743</v>
      </c>
      <c r="B90" s="36" t="s">
        <v>217</v>
      </c>
      <c r="C90" s="36" t="s">
        <v>213</v>
      </c>
    </row>
    <row r="91" spans="1:3">
      <c r="A91" s="75">
        <v>45744</v>
      </c>
      <c r="B91" s="36" t="s">
        <v>217</v>
      </c>
      <c r="C91" s="36" t="s">
        <v>213</v>
      </c>
    </row>
    <row r="92" spans="1:3">
      <c r="A92" s="75">
        <v>45745</v>
      </c>
      <c r="B92" s="36" t="s">
        <v>217</v>
      </c>
      <c r="C92" s="36" t="s">
        <v>213</v>
      </c>
    </row>
    <row r="93" spans="1:3">
      <c r="A93" s="75">
        <v>45746</v>
      </c>
      <c r="B93" s="36" t="s">
        <v>218</v>
      </c>
      <c r="C93" s="36" t="s">
        <v>213</v>
      </c>
    </row>
    <row r="94" spans="1:3">
      <c r="A94" s="75">
        <v>45747</v>
      </c>
      <c r="B94" s="36" t="s">
        <v>218</v>
      </c>
      <c r="C94" s="36" t="s">
        <v>213</v>
      </c>
    </row>
    <row r="95" spans="1:3">
      <c r="A95" s="75">
        <v>45748</v>
      </c>
      <c r="B95" s="36" t="s">
        <v>218</v>
      </c>
      <c r="C95" s="36" t="s">
        <v>219</v>
      </c>
    </row>
    <row r="96" spans="1:3">
      <c r="A96" s="75">
        <v>45749</v>
      </c>
      <c r="B96" s="36" t="s">
        <v>218</v>
      </c>
      <c r="C96" s="36" t="s">
        <v>219</v>
      </c>
    </row>
    <row r="97" spans="1:3">
      <c r="A97" s="75">
        <v>45750</v>
      </c>
      <c r="B97" s="36" t="s">
        <v>218</v>
      </c>
      <c r="C97" s="36" t="s">
        <v>219</v>
      </c>
    </row>
    <row r="98" spans="1:3">
      <c r="A98" s="75">
        <v>45751</v>
      </c>
      <c r="B98" s="36" t="s">
        <v>218</v>
      </c>
      <c r="C98" s="36" t="s">
        <v>219</v>
      </c>
    </row>
    <row r="99" spans="1:3">
      <c r="A99" s="75">
        <v>45752</v>
      </c>
      <c r="B99" s="36" t="s">
        <v>218</v>
      </c>
      <c r="C99" s="36" t="s">
        <v>219</v>
      </c>
    </row>
    <row r="100" spans="1:3">
      <c r="A100" s="75">
        <v>45753</v>
      </c>
      <c r="B100" s="36" t="s">
        <v>220</v>
      </c>
      <c r="C100" s="36" t="s">
        <v>219</v>
      </c>
    </row>
    <row r="101" spans="1:3">
      <c r="A101" s="75">
        <v>45754</v>
      </c>
      <c r="B101" s="36" t="s">
        <v>220</v>
      </c>
      <c r="C101" s="36" t="s">
        <v>219</v>
      </c>
    </row>
    <row r="102" spans="1:3">
      <c r="A102" s="75">
        <v>45755</v>
      </c>
      <c r="B102" s="36" t="s">
        <v>220</v>
      </c>
      <c r="C102" s="36" t="s">
        <v>219</v>
      </c>
    </row>
    <row r="103" spans="1:3">
      <c r="A103" s="75">
        <v>45756</v>
      </c>
      <c r="B103" s="36" t="s">
        <v>220</v>
      </c>
      <c r="C103" s="36" t="s">
        <v>219</v>
      </c>
    </row>
    <row r="104" spans="1:3">
      <c r="A104" s="75">
        <v>45757</v>
      </c>
      <c r="B104" s="36" t="s">
        <v>220</v>
      </c>
      <c r="C104" s="36" t="s">
        <v>219</v>
      </c>
    </row>
    <row r="105" spans="1:3">
      <c r="A105" s="75">
        <v>45758</v>
      </c>
      <c r="B105" s="36" t="s">
        <v>220</v>
      </c>
      <c r="C105" s="36" t="s">
        <v>219</v>
      </c>
    </row>
    <row r="106" spans="1:3">
      <c r="A106" s="75">
        <v>45759</v>
      </c>
      <c r="B106" s="36" t="s">
        <v>220</v>
      </c>
      <c r="C106" s="36" t="s">
        <v>219</v>
      </c>
    </row>
    <row r="107" spans="1:3">
      <c r="A107" s="75">
        <v>45760</v>
      </c>
      <c r="B107" s="36" t="s">
        <v>221</v>
      </c>
      <c r="C107" s="36" t="s">
        <v>219</v>
      </c>
    </row>
    <row r="108" spans="1:3">
      <c r="A108" s="75">
        <v>45761</v>
      </c>
      <c r="B108" s="36" t="s">
        <v>221</v>
      </c>
      <c r="C108" s="36" t="s">
        <v>219</v>
      </c>
    </row>
    <row r="109" spans="1:3">
      <c r="A109" s="75">
        <v>45762</v>
      </c>
      <c r="B109" s="36" t="s">
        <v>221</v>
      </c>
      <c r="C109" s="36" t="s">
        <v>219</v>
      </c>
    </row>
    <row r="110" spans="1:3">
      <c r="A110" s="75">
        <v>45763</v>
      </c>
      <c r="B110" s="36" t="s">
        <v>221</v>
      </c>
      <c r="C110" s="36" t="s">
        <v>219</v>
      </c>
    </row>
    <row r="111" spans="1:3">
      <c r="A111" s="75">
        <v>45764</v>
      </c>
      <c r="B111" s="36" t="s">
        <v>221</v>
      </c>
      <c r="C111" s="36" t="s">
        <v>219</v>
      </c>
    </row>
    <row r="112" spans="1:3">
      <c r="A112" s="75">
        <v>45765</v>
      </c>
      <c r="B112" s="36" t="s">
        <v>221</v>
      </c>
      <c r="C112" s="36" t="s">
        <v>219</v>
      </c>
    </row>
    <row r="113" spans="1:3">
      <c r="A113" s="75">
        <v>45766</v>
      </c>
      <c r="B113" s="36" t="s">
        <v>221</v>
      </c>
      <c r="C113" s="36" t="s">
        <v>219</v>
      </c>
    </row>
    <row r="114" spans="1:3">
      <c r="A114" s="75">
        <v>45767</v>
      </c>
      <c r="B114" s="36" t="s">
        <v>222</v>
      </c>
      <c r="C114" s="36" t="s">
        <v>219</v>
      </c>
    </row>
    <row r="115" spans="1:3">
      <c r="A115" s="75">
        <v>45768</v>
      </c>
      <c r="B115" s="36" t="s">
        <v>222</v>
      </c>
      <c r="C115" s="36" t="s">
        <v>219</v>
      </c>
    </row>
    <row r="116" spans="1:3">
      <c r="A116" s="75">
        <v>45769</v>
      </c>
      <c r="B116" s="36" t="s">
        <v>222</v>
      </c>
      <c r="C116" s="36" t="s">
        <v>219</v>
      </c>
    </row>
    <row r="117" spans="1:3">
      <c r="A117" s="75">
        <v>45770</v>
      </c>
      <c r="B117" s="36" t="s">
        <v>222</v>
      </c>
      <c r="C117" s="36" t="s">
        <v>219</v>
      </c>
    </row>
    <row r="118" spans="1:3">
      <c r="A118" s="75">
        <v>45771</v>
      </c>
      <c r="B118" s="36" t="s">
        <v>222</v>
      </c>
      <c r="C118" s="36" t="s">
        <v>219</v>
      </c>
    </row>
    <row r="119" spans="1:3">
      <c r="A119" s="75">
        <v>45772</v>
      </c>
      <c r="B119" s="36" t="s">
        <v>222</v>
      </c>
      <c r="C119" s="36" t="s">
        <v>219</v>
      </c>
    </row>
    <row r="120" spans="1:3">
      <c r="A120" s="75">
        <v>45773</v>
      </c>
      <c r="B120" s="36" t="s">
        <v>222</v>
      </c>
      <c r="C120" s="36" t="s">
        <v>219</v>
      </c>
    </row>
    <row r="121" spans="1:3">
      <c r="A121" s="75">
        <v>45774</v>
      </c>
      <c r="B121" s="36" t="s">
        <v>223</v>
      </c>
      <c r="C121" s="36" t="s">
        <v>219</v>
      </c>
    </row>
    <row r="122" spans="1:3">
      <c r="A122" s="75">
        <v>45775</v>
      </c>
      <c r="B122" s="36" t="s">
        <v>223</v>
      </c>
      <c r="C122" s="36" t="s">
        <v>219</v>
      </c>
    </row>
    <row r="123" spans="1:3">
      <c r="A123" s="75">
        <v>45776</v>
      </c>
      <c r="B123" s="36" t="s">
        <v>223</v>
      </c>
      <c r="C123" s="36" t="s">
        <v>219</v>
      </c>
    </row>
    <row r="124" spans="1:3">
      <c r="A124" s="75">
        <v>45777</v>
      </c>
      <c r="B124" s="36" t="s">
        <v>223</v>
      </c>
      <c r="C124" s="36" t="s">
        <v>219</v>
      </c>
    </row>
    <row r="125" spans="1:3">
      <c r="A125" s="75">
        <v>45778</v>
      </c>
      <c r="B125" s="36" t="s">
        <v>223</v>
      </c>
      <c r="C125" s="36" t="s">
        <v>224</v>
      </c>
    </row>
    <row r="126" spans="1:3">
      <c r="A126" s="75">
        <v>45779</v>
      </c>
      <c r="B126" s="36" t="s">
        <v>223</v>
      </c>
      <c r="C126" s="36" t="s">
        <v>224</v>
      </c>
    </row>
    <row r="127" spans="1:3">
      <c r="A127" s="75">
        <v>45780</v>
      </c>
      <c r="B127" s="36" t="s">
        <v>223</v>
      </c>
      <c r="C127" s="36" t="s">
        <v>224</v>
      </c>
    </row>
    <row r="128" spans="1:3">
      <c r="A128" s="75">
        <v>45781</v>
      </c>
      <c r="B128" s="36" t="s">
        <v>225</v>
      </c>
      <c r="C128" s="36" t="s">
        <v>224</v>
      </c>
    </row>
    <row r="129" spans="1:3">
      <c r="A129" s="75">
        <v>45782</v>
      </c>
      <c r="B129" s="36" t="s">
        <v>225</v>
      </c>
      <c r="C129" s="36" t="s">
        <v>224</v>
      </c>
    </row>
    <row r="130" spans="1:3">
      <c r="A130" s="75">
        <v>45783</v>
      </c>
      <c r="B130" s="36" t="s">
        <v>225</v>
      </c>
      <c r="C130" s="36" t="s">
        <v>224</v>
      </c>
    </row>
    <row r="131" spans="1:3">
      <c r="A131" s="75">
        <v>45784</v>
      </c>
      <c r="B131" s="36" t="s">
        <v>225</v>
      </c>
      <c r="C131" s="36" t="s">
        <v>224</v>
      </c>
    </row>
    <row r="132" spans="1:3">
      <c r="A132" s="75">
        <v>45785</v>
      </c>
      <c r="B132" s="36" t="s">
        <v>225</v>
      </c>
      <c r="C132" s="36" t="s">
        <v>224</v>
      </c>
    </row>
    <row r="133" spans="1:3">
      <c r="A133" s="75">
        <v>45786</v>
      </c>
      <c r="B133" s="36" t="s">
        <v>225</v>
      </c>
      <c r="C133" s="36" t="s">
        <v>224</v>
      </c>
    </row>
    <row r="134" spans="1:3">
      <c r="A134" s="75">
        <v>45787</v>
      </c>
      <c r="B134" s="36" t="s">
        <v>225</v>
      </c>
      <c r="C134" s="36" t="s">
        <v>224</v>
      </c>
    </row>
    <row r="135" spans="1:3">
      <c r="A135" s="75">
        <v>45788</v>
      </c>
      <c r="B135" s="36" t="s">
        <v>226</v>
      </c>
      <c r="C135" s="36" t="s">
        <v>224</v>
      </c>
    </row>
    <row r="136" spans="1:3">
      <c r="A136" s="75">
        <v>45789</v>
      </c>
      <c r="B136" s="36" t="s">
        <v>226</v>
      </c>
      <c r="C136" s="36" t="s">
        <v>224</v>
      </c>
    </row>
    <row r="137" spans="1:3">
      <c r="A137" s="75">
        <v>45790</v>
      </c>
      <c r="B137" s="36" t="s">
        <v>226</v>
      </c>
      <c r="C137" s="36" t="s">
        <v>224</v>
      </c>
    </row>
    <row r="138" spans="1:3">
      <c r="A138" s="75">
        <v>45791</v>
      </c>
      <c r="B138" s="36" t="s">
        <v>226</v>
      </c>
      <c r="C138" s="36" t="s">
        <v>224</v>
      </c>
    </row>
    <row r="139" spans="1:3">
      <c r="A139" s="75">
        <v>45792</v>
      </c>
      <c r="B139" s="36" t="s">
        <v>226</v>
      </c>
      <c r="C139" s="36" t="s">
        <v>224</v>
      </c>
    </row>
    <row r="140" spans="1:3">
      <c r="A140" s="75">
        <v>45793</v>
      </c>
      <c r="B140" s="36" t="s">
        <v>226</v>
      </c>
      <c r="C140" s="36" t="s">
        <v>224</v>
      </c>
    </row>
    <row r="141" spans="1:3">
      <c r="A141" s="75">
        <v>45794</v>
      </c>
      <c r="B141" s="36" t="s">
        <v>226</v>
      </c>
      <c r="C141" s="36" t="s">
        <v>224</v>
      </c>
    </row>
    <row r="142" spans="1:3">
      <c r="A142" s="75">
        <v>45795</v>
      </c>
      <c r="B142" s="36" t="s">
        <v>227</v>
      </c>
      <c r="C142" s="36" t="s">
        <v>224</v>
      </c>
    </row>
    <row r="143" spans="1:3">
      <c r="A143" s="75">
        <v>45796</v>
      </c>
      <c r="B143" s="36" t="s">
        <v>227</v>
      </c>
      <c r="C143" s="36" t="s">
        <v>224</v>
      </c>
    </row>
    <row r="144" spans="1:3">
      <c r="A144" s="75">
        <v>45797</v>
      </c>
      <c r="B144" s="36" t="s">
        <v>227</v>
      </c>
      <c r="C144" s="36" t="s">
        <v>224</v>
      </c>
    </row>
    <row r="145" spans="1:3">
      <c r="A145" s="75">
        <v>45798</v>
      </c>
      <c r="B145" s="36" t="s">
        <v>227</v>
      </c>
      <c r="C145" s="36" t="s">
        <v>224</v>
      </c>
    </row>
    <row r="146" spans="1:3">
      <c r="A146" s="75">
        <v>45799</v>
      </c>
      <c r="B146" s="36" t="s">
        <v>227</v>
      </c>
      <c r="C146" s="36" t="s">
        <v>224</v>
      </c>
    </row>
    <row r="147" spans="1:3">
      <c r="A147" s="75">
        <v>45800</v>
      </c>
      <c r="B147" s="36" t="s">
        <v>227</v>
      </c>
      <c r="C147" s="36" t="s">
        <v>224</v>
      </c>
    </row>
    <row r="148" spans="1:3">
      <c r="A148" s="75">
        <v>45801</v>
      </c>
      <c r="B148" s="36" t="s">
        <v>227</v>
      </c>
      <c r="C148" s="36" t="s">
        <v>224</v>
      </c>
    </row>
    <row r="149" spans="1:3">
      <c r="A149" s="75">
        <v>45802</v>
      </c>
      <c r="B149" s="36" t="s">
        <v>228</v>
      </c>
      <c r="C149" s="36" t="s">
        <v>224</v>
      </c>
    </row>
    <row r="150" spans="1:3">
      <c r="A150" s="75">
        <v>45803</v>
      </c>
      <c r="B150" s="36" t="s">
        <v>228</v>
      </c>
      <c r="C150" s="36" t="s">
        <v>224</v>
      </c>
    </row>
    <row r="151" spans="1:3">
      <c r="A151" s="75">
        <v>45804</v>
      </c>
      <c r="B151" s="36" t="s">
        <v>228</v>
      </c>
      <c r="C151" s="36" t="s">
        <v>224</v>
      </c>
    </row>
    <row r="152" spans="1:3">
      <c r="A152" s="75">
        <v>45805</v>
      </c>
      <c r="B152" s="36" t="s">
        <v>228</v>
      </c>
      <c r="C152" s="36" t="s">
        <v>224</v>
      </c>
    </row>
    <row r="153" spans="1:3">
      <c r="A153" s="75">
        <v>45806</v>
      </c>
      <c r="B153" s="36" t="s">
        <v>228</v>
      </c>
      <c r="C153" s="36" t="s">
        <v>224</v>
      </c>
    </row>
    <row r="154" spans="1:3">
      <c r="A154" s="75">
        <v>45807</v>
      </c>
      <c r="B154" s="36" t="s">
        <v>228</v>
      </c>
      <c r="C154" s="36" t="s">
        <v>224</v>
      </c>
    </row>
    <row r="155" spans="1:3">
      <c r="A155" s="75">
        <v>45808</v>
      </c>
      <c r="B155" s="36" t="s">
        <v>228</v>
      </c>
      <c r="C155" s="36" t="s">
        <v>224</v>
      </c>
    </row>
    <row r="156" spans="1:3">
      <c r="A156" s="75">
        <v>45809</v>
      </c>
      <c r="B156" s="36" t="s">
        <v>229</v>
      </c>
      <c r="C156" s="36" t="s">
        <v>230</v>
      </c>
    </row>
    <row r="157" spans="1:3">
      <c r="A157" s="75">
        <v>45810</v>
      </c>
      <c r="B157" s="36" t="s">
        <v>229</v>
      </c>
      <c r="C157" s="36" t="s">
        <v>230</v>
      </c>
    </row>
    <row r="158" spans="1:3">
      <c r="A158" s="75">
        <v>45811</v>
      </c>
      <c r="B158" s="36" t="s">
        <v>229</v>
      </c>
      <c r="C158" s="36" t="s">
        <v>230</v>
      </c>
    </row>
    <row r="159" spans="1:3">
      <c r="A159" s="75">
        <v>45812</v>
      </c>
      <c r="B159" s="36" t="s">
        <v>229</v>
      </c>
      <c r="C159" s="36" t="s">
        <v>230</v>
      </c>
    </row>
    <row r="160" spans="1:3">
      <c r="A160" s="75">
        <v>45813</v>
      </c>
      <c r="B160" s="36" t="s">
        <v>229</v>
      </c>
      <c r="C160" s="36" t="s">
        <v>230</v>
      </c>
    </row>
    <row r="161" spans="1:3">
      <c r="A161" s="75">
        <v>45814</v>
      </c>
      <c r="B161" s="36" t="s">
        <v>229</v>
      </c>
      <c r="C161" s="36" t="s">
        <v>230</v>
      </c>
    </row>
    <row r="162" spans="1:3">
      <c r="A162" s="75">
        <v>45815</v>
      </c>
      <c r="B162" s="36" t="s">
        <v>229</v>
      </c>
      <c r="C162" s="36" t="s">
        <v>230</v>
      </c>
    </row>
    <row r="163" spans="1:3">
      <c r="A163" s="75">
        <v>45816</v>
      </c>
      <c r="B163" s="36" t="s">
        <v>231</v>
      </c>
      <c r="C163" s="36" t="s">
        <v>230</v>
      </c>
    </row>
    <row r="164" spans="1:3">
      <c r="A164" s="75">
        <v>45817</v>
      </c>
      <c r="B164" s="36" t="s">
        <v>231</v>
      </c>
      <c r="C164" s="36" t="s">
        <v>230</v>
      </c>
    </row>
    <row r="165" spans="1:3">
      <c r="A165" s="75">
        <v>45818</v>
      </c>
      <c r="B165" s="36" t="s">
        <v>231</v>
      </c>
      <c r="C165" s="36" t="s">
        <v>230</v>
      </c>
    </row>
    <row r="166" spans="1:3">
      <c r="A166" s="75">
        <v>45819</v>
      </c>
      <c r="B166" s="36" t="s">
        <v>231</v>
      </c>
      <c r="C166" s="36" t="s">
        <v>230</v>
      </c>
    </row>
    <row r="167" spans="1:3">
      <c r="A167" s="75">
        <v>45820</v>
      </c>
      <c r="B167" s="36" t="s">
        <v>231</v>
      </c>
      <c r="C167" s="36" t="s">
        <v>230</v>
      </c>
    </row>
    <row r="168" spans="1:3">
      <c r="A168" s="75">
        <v>45821</v>
      </c>
      <c r="B168" s="36" t="s">
        <v>231</v>
      </c>
      <c r="C168" s="36" t="s">
        <v>230</v>
      </c>
    </row>
    <row r="169" spans="1:3">
      <c r="A169" s="75">
        <v>45822</v>
      </c>
      <c r="B169" s="36" t="s">
        <v>231</v>
      </c>
      <c r="C169" s="36" t="s">
        <v>230</v>
      </c>
    </row>
    <row r="170" spans="1:3">
      <c r="A170" s="75">
        <v>45823</v>
      </c>
      <c r="B170" s="36" t="s">
        <v>232</v>
      </c>
      <c r="C170" s="36" t="s">
        <v>230</v>
      </c>
    </row>
    <row r="171" spans="1:3">
      <c r="A171" s="75">
        <v>45824</v>
      </c>
      <c r="B171" s="36" t="s">
        <v>232</v>
      </c>
      <c r="C171" s="36" t="s">
        <v>230</v>
      </c>
    </row>
    <row r="172" spans="1:3">
      <c r="A172" s="75">
        <v>45825</v>
      </c>
      <c r="B172" s="36" t="s">
        <v>232</v>
      </c>
      <c r="C172" s="36" t="s">
        <v>230</v>
      </c>
    </row>
    <row r="173" spans="1:3">
      <c r="A173" s="75">
        <v>45826</v>
      </c>
      <c r="B173" s="36" t="s">
        <v>232</v>
      </c>
      <c r="C173" s="36" t="s">
        <v>230</v>
      </c>
    </row>
    <row r="174" spans="1:3">
      <c r="A174" s="75">
        <v>45827</v>
      </c>
      <c r="B174" s="36" t="s">
        <v>232</v>
      </c>
      <c r="C174" s="36" t="s">
        <v>230</v>
      </c>
    </row>
    <row r="175" spans="1:3">
      <c r="A175" s="75">
        <v>45828</v>
      </c>
      <c r="B175" s="36" t="s">
        <v>232</v>
      </c>
      <c r="C175" s="36" t="s">
        <v>230</v>
      </c>
    </row>
    <row r="176" spans="1:3">
      <c r="A176" s="75">
        <v>45829</v>
      </c>
      <c r="B176" s="36" t="s">
        <v>232</v>
      </c>
      <c r="C176" s="36" t="s">
        <v>230</v>
      </c>
    </row>
    <row r="177" spans="1:3">
      <c r="A177" s="75">
        <v>45830</v>
      </c>
      <c r="B177" s="36" t="s">
        <v>233</v>
      </c>
      <c r="C177" s="36" t="s">
        <v>230</v>
      </c>
    </row>
    <row r="178" spans="1:3">
      <c r="A178" s="75">
        <v>45831</v>
      </c>
      <c r="B178" s="36" t="s">
        <v>233</v>
      </c>
      <c r="C178" s="36" t="s">
        <v>230</v>
      </c>
    </row>
    <row r="179" spans="1:3">
      <c r="A179" s="75">
        <v>45832</v>
      </c>
      <c r="B179" s="36" t="s">
        <v>233</v>
      </c>
      <c r="C179" s="36" t="s">
        <v>230</v>
      </c>
    </row>
    <row r="180" spans="1:3">
      <c r="A180" s="75">
        <v>45833</v>
      </c>
      <c r="B180" s="36" t="s">
        <v>233</v>
      </c>
      <c r="C180" s="36" t="s">
        <v>230</v>
      </c>
    </row>
    <row r="181" spans="1:3">
      <c r="A181" s="75">
        <v>45834</v>
      </c>
      <c r="B181" s="36" t="s">
        <v>233</v>
      </c>
      <c r="C181" s="36" t="s">
        <v>230</v>
      </c>
    </row>
    <row r="182" spans="1:3">
      <c r="A182" s="75">
        <v>45835</v>
      </c>
      <c r="B182" s="36" t="s">
        <v>233</v>
      </c>
      <c r="C182" s="36" t="s">
        <v>230</v>
      </c>
    </row>
    <row r="183" spans="1:3">
      <c r="A183" s="75">
        <v>45836</v>
      </c>
      <c r="B183" s="36" t="s">
        <v>233</v>
      </c>
      <c r="C183" s="36" t="s">
        <v>230</v>
      </c>
    </row>
    <row r="184" spans="1:3">
      <c r="A184" s="75">
        <v>45837</v>
      </c>
      <c r="B184" s="36" t="s">
        <v>234</v>
      </c>
      <c r="C184" s="36" t="s">
        <v>230</v>
      </c>
    </row>
    <row r="185" spans="1:3">
      <c r="A185" s="75">
        <v>45838</v>
      </c>
      <c r="B185" s="36" t="s">
        <v>234</v>
      </c>
      <c r="C185" s="36" t="s">
        <v>230</v>
      </c>
    </row>
    <row r="186" spans="1:3">
      <c r="A186" s="75">
        <v>45839</v>
      </c>
      <c r="B186" s="36" t="s">
        <v>234</v>
      </c>
      <c r="C186" s="36" t="s">
        <v>235</v>
      </c>
    </row>
    <row r="187" spans="1:3">
      <c r="A187" s="75">
        <v>45840</v>
      </c>
      <c r="B187" s="36" t="s">
        <v>234</v>
      </c>
      <c r="C187" s="36" t="s">
        <v>235</v>
      </c>
    </row>
    <row r="188" spans="1:3">
      <c r="A188" s="75">
        <v>45841</v>
      </c>
      <c r="B188" s="36" t="s">
        <v>234</v>
      </c>
      <c r="C188" s="36" t="s">
        <v>235</v>
      </c>
    </row>
    <row r="189" spans="1:3">
      <c r="A189" s="75">
        <v>45842</v>
      </c>
      <c r="B189" s="36" t="s">
        <v>234</v>
      </c>
      <c r="C189" s="36" t="s">
        <v>235</v>
      </c>
    </row>
    <row r="190" spans="1:3">
      <c r="A190" s="75">
        <v>45843</v>
      </c>
      <c r="B190" s="36" t="s">
        <v>236</v>
      </c>
      <c r="C190" s="36" t="s">
        <v>235</v>
      </c>
    </row>
    <row r="191" spans="1:3">
      <c r="A191" s="75">
        <v>45844</v>
      </c>
      <c r="B191" s="36" t="s">
        <v>236</v>
      </c>
      <c r="C191" s="36" t="s">
        <v>235</v>
      </c>
    </row>
    <row r="192" spans="1:3">
      <c r="A192" s="75">
        <v>45845</v>
      </c>
      <c r="B192" s="36" t="s">
        <v>236</v>
      </c>
      <c r="C192" s="36" t="s">
        <v>235</v>
      </c>
    </row>
    <row r="193" spans="1:3">
      <c r="A193" s="75">
        <v>45846</v>
      </c>
      <c r="B193" s="36" t="s">
        <v>236</v>
      </c>
      <c r="C193" s="36" t="s">
        <v>235</v>
      </c>
    </row>
    <row r="194" spans="1:3">
      <c r="A194" s="75">
        <v>45847</v>
      </c>
      <c r="B194" s="36" t="s">
        <v>236</v>
      </c>
      <c r="C194" s="36" t="s">
        <v>235</v>
      </c>
    </row>
    <row r="195" spans="1:3">
      <c r="A195" s="75">
        <v>45848</v>
      </c>
      <c r="B195" s="36" t="s">
        <v>236</v>
      </c>
      <c r="C195" s="36" t="s">
        <v>235</v>
      </c>
    </row>
    <row r="196" spans="1:3">
      <c r="A196" s="75">
        <v>45849</v>
      </c>
      <c r="B196" s="36" t="s">
        <v>236</v>
      </c>
      <c r="C196" s="36" t="s">
        <v>235</v>
      </c>
    </row>
    <row r="197" spans="1:3">
      <c r="A197" s="75">
        <v>45850</v>
      </c>
      <c r="B197" s="36" t="s">
        <v>237</v>
      </c>
      <c r="C197" s="36" t="s">
        <v>235</v>
      </c>
    </row>
    <row r="198" spans="1:3">
      <c r="A198" s="75">
        <v>45851</v>
      </c>
      <c r="B198" s="36" t="s">
        <v>237</v>
      </c>
      <c r="C198" s="36" t="s">
        <v>235</v>
      </c>
    </row>
    <row r="199" spans="1:3">
      <c r="A199" s="75">
        <v>45852</v>
      </c>
      <c r="B199" s="36" t="s">
        <v>237</v>
      </c>
      <c r="C199" s="36" t="s">
        <v>235</v>
      </c>
    </row>
    <row r="200" spans="1:3">
      <c r="A200" s="75">
        <v>45853</v>
      </c>
      <c r="B200" s="36" t="s">
        <v>237</v>
      </c>
      <c r="C200" s="36" t="s">
        <v>235</v>
      </c>
    </row>
    <row r="201" spans="1:3">
      <c r="A201" s="75">
        <v>45854</v>
      </c>
      <c r="B201" s="36" t="s">
        <v>237</v>
      </c>
      <c r="C201" s="36" t="s">
        <v>235</v>
      </c>
    </row>
    <row r="202" spans="1:3">
      <c r="A202" s="75">
        <v>45855</v>
      </c>
      <c r="B202" s="36" t="s">
        <v>237</v>
      </c>
      <c r="C202" s="36" t="s">
        <v>235</v>
      </c>
    </row>
    <row r="203" spans="1:3">
      <c r="A203" s="75">
        <v>45856</v>
      </c>
      <c r="B203" s="36" t="s">
        <v>237</v>
      </c>
      <c r="C203" s="36" t="s">
        <v>235</v>
      </c>
    </row>
    <row r="204" spans="1:3">
      <c r="A204" s="75">
        <v>45857</v>
      </c>
      <c r="B204" s="36" t="s">
        <v>238</v>
      </c>
      <c r="C204" s="36" t="s">
        <v>235</v>
      </c>
    </row>
    <row r="205" spans="1:3">
      <c r="A205" s="75">
        <v>45858</v>
      </c>
      <c r="B205" s="36" t="s">
        <v>238</v>
      </c>
      <c r="C205" s="36" t="s">
        <v>235</v>
      </c>
    </row>
    <row r="206" spans="1:3">
      <c r="A206" s="75">
        <v>45859</v>
      </c>
      <c r="B206" s="36" t="s">
        <v>238</v>
      </c>
      <c r="C206" s="36" t="s">
        <v>235</v>
      </c>
    </row>
    <row r="207" spans="1:3">
      <c r="A207" s="75">
        <v>45860</v>
      </c>
      <c r="B207" s="36" t="s">
        <v>238</v>
      </c>
      <c r="C207" s="36" t="s">
        <v>235</v>
      </c>
    </row>
    <row r="208" spans="1:3">
      <c r="A208" s="75">
        <v>45861</v>
      </c>
      <c r="B208" s="36" t="s">
        <v>238</v>
      </c>
      <c r="C208" s="36" t="s">
        <v>235</v>
      </c>
    </row>
    <row r="209" spans="1:3">
      <c r="A209" s="75">
        <v>45862</v>
      </c>
      <c r="B209" s="36" t="s">
        <v>238</v>
      </c>
      <c r="C209" s="36" t="s">
        <v>235</v>
      </c>
    </row>
    <row r="210" spans="1:3">
      <c r="A210" s="75">
        <v>45863</v>
      </c>
      <c r="B210" s="36" t="s">
        <v>238</v>
      </c>
      <c r="C210" s="36" t="s">
        <v>235</v>
      </c>
    </row>
    <row r="211" spans="1:3">
      <c r="A211" s="75">
        <v>45864</v>
      </c>
      <c r="B211" s="36" t="s">
        <v>239</v>
      </c>
      <c r="C211" s="36" t="s">
        <v>235</v>
      </c>
    </row>
    <row r="212" spans="1:3">
      <c r="A212" s="75">
        <v>45865</v>
      </c>
      <c r="B212" s="36" t="s">
        <v>239</v>
      </c>
      <c r="C212" s="36" t="s">
        <v>235</v>
      </c>
    </row>
    <row r="213" spans="1:3">
      <c r="A213" s="75">
        <v>45866</v>
      </c>
      <c r="B213" s="36" t="s">
        <v>239</v>
      </c>
      <c r="C213" s="36" t="s">
        <v>235</v>
      </c>
    </row>
    <row r="214" spans="1:3">
      <c r="A214" s="75">
        <v>45867</v>
      </c>
      <c r="B214" s="36" t="s">
        <v>239</v>
      </c>
      <c r="C214" s="36" t="s">
        <v>235</v>
      </c>
    </row>
    <row r="215" spans="1:3">
      <c r="A215" s="75">
        <v>45868</v>
      </c>
      <c r="B215" s="36" t="s">
        <v>239</v>
      </c>
      <c r="C215" s="36" t="s">
        <v>235</v>
      </c>
    </row>
    <row r="216" spans="1:3">
      <c r="A216" s="75">
        <v>45869</v>
      </c>
      <c r="B216" s="36" t="s">
        <v>239</v>
      </c>
      <c r="C216" s="36" t="s">
        <v>235</v>
      </c>
    </row>
    <row r="217" spans="1:3">
      <c r="A217" s="75">
        <v>45870</v>
      </c>
      <c r="B217" s="36" t="s">
        <v>239</v>
      </c>
      <c r="C217" s="36" t="s">
        <v>240</v>
      </c>
    </row>
    <row r="218" spans="1:3">
      <c r="A218" s="75">
        <v>45871</v>
      </c>
      <c r="B218" s="36" t="s">
        <v>241</v>
      </c>
      <c r="C218" s="36" t="s">
        <v>240</v>
      </c>
    </row>
    <row r="219" spans="1:3">
      <c r="A219" s="75">
        <v>45872</v>
      </c>
      <c r="B219" s="36" t="s">
        <v>241</v>
      </c>
      <c r="C219" s="36" t="s">
        <v>240</v>
      </c>
    </row>
    <row r="220" spans="1:3">
      <c r="A220" s="75">
        <v>45873</v>
      </c>
      <c r="B220" s="36" t="s">
        <v>241</v>
      </c>
      <c r="C220" s="36" t="s">
        <v>240</v>
      </c>
    </row>
    <row r="221" spans="1:3">
      <c r="A221" s="75">
        <v>45874</v>
      </c>
      <c r="B221" s="36" t="s">
        <v>241</v>
      </c>
      <c r="C221" s="36" t="s">
        <v>240</v>
      </c>
    </row>
    <row r="222" spans="1:3">
      <c r="A222" s="75">
        <v>45875</v>
      </c>
      <c r="B222" s="36" t="s">
        <v>241</v>
      </c>
      <c r="C222" s="36" t="s">
        <v>240</v>
      </c>
    </row>
    <row r="223" spans="1:3">
      <c r="A223" s="75">
        <v>45876</v>
      </c>
      <c r="B223" s="36" t="s">
        <v>241</v>
      </c>
      <c r="C223" s="36" t="s">
        <v>240</v>
      </c>
    </row>
    <row r="224" spans="1:3">
      <c r="A224" s="75">
        <v>45877</v>
      </c>
      <c r="B224" s="36" t="s">
        <v>241</v>
      </c>
      <c r="C224" s="36" t="s">
        <v>240</v>
      </c>
    </row>
    <row r="225" spans="1:3">
      <c r="A225" s="75">
        <v>45878</v>
      </c>
      <c r="B225" s="36" t="s">
        <v>242</v>
      </c>
      <c r="C225" s="36" t="s">
        <v>240</v>
      </c>
    </row>
    <row r="226" spans="1:3">
      <c r="A226" s="75">
        <v>45879</v>
      </c>
      <c r="B226" s="36" t="s">
        <v>242</v>
      </c>
      <c r="C226" s="36" t="s">
        <v>240</v>
      </c>
    </row>
    <row r="227" spans="1:3">
      <c r="A227" s="75">
        <v>45880</v>
      </c>
      <c r="B227" s="36" t="s">
        <v>242</v>
      </c>
      <c r="C227" s="36" t="s">
        <v>240</v>
      </c>
    </row>
    <row r="228" spans="1:3">
      <c r="A228" s="75">
        <v>45881</v>
      </c>
      <c r="B228" s="36" t="s">
        <v>242</v>
      </c>
      <c r="C228" s="36" t="s">
        <v>240</v>
      </c>
    </row>
    <row r="229" spans="1:3">
      <c r="A229" s="75">
        <v>45882</v>
      </c>
      <c r="B229" s="36" t="s">
        <v>242</v>
      </c>
      <c r="C229" s="36" t="s">
        <v>240</v>
      </c>
    </row>
    <row r="230" spans="1:3">
      <c r="A230" s="75">
        <v>45883</v>
      </c>
      <c r="B230" s="36" t="s">
        <v>242</v>
      </c>
      <c r="C230" s="36" t="s">
        <v>240</v>
      </c>
    </row>
    <row r="231" spans="1:3">
      <c r="A231" s="75">
        <v>45884</v>
      </c>
      <c r="B231" s="36" t="s">
        <v>242</v>
      </c>
      <c r="C231" s="36" t="s">
        <v>240</v>
      </c>
    </row>
    <row r="232" spans="1:3">
      <c r="A232" s="75">
        <v>45885</v>
      </c>
      <c r="B232" s="36" t="s">
        <v>243</v>
      </c>
      <c r="C232" s="36" t="s">
        <v>240</v>
      </c>
    </row>
    <row r="233" spans="1:3">
      <c r="A233" s="75">
        <v>45886</v>
      </c>
      <c r="B233" s="36" t="s">
        <v>243</v>
      </c>
      <c r="C233" s="36" t="s">
        <v>240</v>
      </c>
    </row>
    <row r="234" spans="1:3">
      <c r="A234" s="75">
        <v>45887</v>
      </c>
      <c r="B234" s="36" t="s">
        <v>243</v>
      </c>
      <c r="C234" s="36" t="s">
        <v>240</v>
      </c>
    </row>
    <row r="235" spans="1:3">
      <c r="A235" s="75">
        <v>45888</v>
      </c>
      <c r="B235" s="36" t="s">
        <v>243</v>
      </c>
      <c r="C235" s="36" t="s">
        <v>240</v>
      </c>
    </row>
    <row r="236" spans="1:3">
      <c r="A236" s="75">
        <v>45889</v>
      </c>
      <c r="B236" s="36" t="s">
        <v>243</v>
      </c>
      <c r="C236" s="36" t="s">
        <v>240</v>
      </c>
    </row>
    <row r="237" spans="1:3">
      <c r="A237" s="75">
        <v>45890</v>
      </c>
      <c r="B237" s="36" t="s">
        <v>243</v>
      </c>
      <c r="C237" s="36" t="s">
        <v>240</v>
      </c>
    </row>
    <row r="238" spans="1:3">
      <c r="A238" s="75">
        <v>45891</v>
      </c>
      <c r="B238" s="36" t="s">
        <v>243</v>
      </c>
      <c r="C238" s="36" t="s">
        <v>240</v>
      </c>
    </row>
    <row r="239" spans="1:3">
      <c r="A239" s="75">
        <v>45892</v>
      </c>
      <c r="B239" s="36" t="s">
        <v>244</v>
      </c>
      <c r="C239" s="36" t="s">
        <v>240</v>
      </c>
    </row>
    <row r="240" spans="1:3">
      <c r="A240" s="75">
        <v>45893</v>
      </c>
      <c r="B240" s="36" t="s">
        <v>244</v>
      </c>
      <c r="C240" s="36" t="s">
        <v>240</v>
      </c>
    </row>
    <row r="241" spans="1:3">
      <c r="A241" s="75">
        <v>45894</v>
      </c>
      <c r="B241" s="36" t="s">
        <v>244</v>
      </c>
      <c r="C241" s="36" t="s">
        <v>240</v>
      </c>
    </row>
    <row r="242" spans="1:3">
      <c r="A242" s="75">
        <v>45895</v>
      </c>
      <c r="B242" s="36" t="s">
        <v>244</v>
      </c>
      <c r="C242" s="36" t="s">
        <v>240</v>
      </c>
    </row>
    <row r="243" spans="1:3">
      <c r="A243" s="75">
        <v>45896</v>
      </c>
      <c r="B243" s="36" t="s">
        <v>244</v>
      </c>
      <c r="C243" s="36" t="s">
        <v>240</v>
      </c>
    </row>
    <row r="244" spans="1:3">
      <c r="A244" s="75">
        <v>45897</v>
      </c>
      <c r="B244" s="36" t="s">
        <v>244</v>
      </c>
      <c r="C244" s="36" t="s">
        <v>240</v>
      </c>
    </row>
    <row r="245" spans="1:3">
      <c r="A245" s="75">
        <v>45898</v>
      </c>
      <c r="B245" s="36" t="s">
        <v>244</v>
      </c>
      <c r="C245" s="36" t="s">
        <v>240</v>
      </c>
    </row>
    <row r="246" spans="1:3">
      <c r="A246" s="75">
        <v>45899</v>
      </c>
      <c r="B246" s="36" t="s">
        <v>245</v>
      </c>
      <c r="C246" s="36" t="s">
        <v>240</v>
      </c>
    </row>
    <row r="247" spans="1:3">
      <c r="A247" s="75">
        <v>45900</v>
      </c>
      <c r="B247" s="36" t="s">
        <v>245</v>
      </c>
      <c r="C247" s="36" t="s">
        <v>240</v>
      </c>
    </row>
    <row r="248" spans="1:3">
      <c r="A248" s="75">
        <v>45901</v>
      </c>
      <c r="B248" s="36" t="s">
        <v>245</v>
      </c>
      <c r="C248" s="36" t="s">
        <v>246</v>
      </c>
    </row>
    <row r="249" spans="1:3">
      <c r="A249" s="75">
        <v>45902</v>
      </c>
      <c r="B249" s="36" t="s">
        <v>245</v>
      </c>
      <c r="C249" s="36" t="s">
        <v>246</v>
      </c>
    </row>
    <row r="250" spans="1:3">
      <c r="A250" s="75">
        <v>45903</v>
      </c>
      <c r="B250" s="36" t="s">
        <v>245</v>
      </c>
      <c r="C250" s="36" t="s">
        <v>246</v>
      </c>
    </row>
    <row r="251" spans="1:3">
      <c r="A251" s="75">
        <v>45904</v>
      </c>
      <c r="B251" s="36" t="s">
        <v>245</v>
      </c>
      <c r="C251" s="36" t="s">
        <v>246</v>
      </c>
    </row>
    <row r="252" spans="1:3">
      <c r="A252" s="75">
        <v>45905</v>
      </c>
      <c r="B252" s="36" t="s">
        <v>245</v>
      </c>
      <c r="C252" s="36" t="s">
        <v>246</v>
      </c>
    </row>
    <row r="253" spans="1:3">
      <c r="A253" s="75">
        <v>45906</v>
      </c>
      <c r="B253" s="36" t="s">
        <v>247</v>
      </c>
      <c r="C253" s="36" t="s">
        <v>246</v>
      </c>
    </row>
    <row r="254" spans="1:3">
      <c r="A254" s="75">
        <v>45907</v>
      </c>
      <c r="B254" s="36" t="s">
        <v>247</v>
      </c>
      <c r="C254" s="36" t="s">
        <v>246</v>
      </c>
    </row>
    <row r="255" spans="1:3">
      <c r="A255" s="75">
        <v>45908</v>
      </c>
      <c r="B255" s="36" t="s">
        <v>247</v>
      </c>
      <c r="C255" s="36" t="s">
        <v>246</v>
      </c>
    </row>
    <row r="256" spans="1:3">
      <c r="A256" s="75">
        <v>45909</v>
      </c>
      <c r="B256" s="36" t="s">
        <v>247</v>
      </c>
      <c r="C256" s="36" t="s">
        <v>246</v>
      </c>
    </row>
    <row r="257" spans="1:3">
      <c r="A257" s="75">
        <v>45910</v>
      </c>
      <c r="B257" s="36" t="s">
        <v>247</v>
      </c>
      <c r="C257" s="36" t="s">
        <v>246</v>
      </c>
    </row>
    <row r="258" spans="1:3">
      <c r="A258" s="75">
        <v>45911</v>
      </c>
      <c r="B258" s="36" t="s">
        <v>247</v>
      </c>
      <c r="C258" s="36" t="s">
        <v>246</v>
      </c>
    </row>
    <row r="259" spans="1:3">
      <c r="A259" s="75">
        <v>45912</v>
      </c>
      <c r="B259" s="36" t="s">
        <v>247</v>
      </c>
      <c r="C259" s="36" t="s">
        <v>246</v>
      </c>
    </row>
    <row r="260" spans="1:3">
      <c r="A260" s="75">
        <v>45913</v>
      </c>
      <c r="B260" s="36" t="s">
        <v>248</v>
      </c>
      <c r="C260" s="36" t="s">
        <v>246</v>
      </c>
    </row>
    <row r="261" spans="1:3">
      <c r="A261" s="75">
        <v>45914</v>
      </c>
      <c r="B261" s="36" t="s">
        <v>248</v>
      </c>
      <c r="C261" s="36" t="s">
        <v>246</v>
      </c>
    </row>
    <row r="262" spans="1:3">
      <c r="A262" s="75">
        <v>45915</v>
      </c>
      <c r="B262" s="36" t="s">
        <v>248</v>
      </c>
      <c r="C262" s="36" t="s">
        <v>246</v>
      </c>
    </row>
    <row r="263" spans="1:3">
      <c r="A263" s="75">
        <v>45916</v>
      </c>
      <c r="B263" s="36" t="s">
        <v>248</v>
      </c>
      <c r="C263" s="36" t="s">
        <v>246</v>
      </c>
    </row>
    <row r="264" spans="1:3">
      <c r="A264" s="75">
        <v>45917</v>
      </c>
      <c r="B264" s="36" t="s">
        <v>248</v>
      </c>
      <c r="C264" s="36" t="s">
        <v>246</v>
      </c>
    </row>
    <row r="265" spans="1:3">
      <c r="A265" s="75">
        <v>45918</v>
      </c>
      <c r="B265" s="36" t="s">
        <v>248</v>
      </c>
      <c r="C265" s="36" t="s">
        <v>246</v>
      </c>
    </row>
    <row r="266" spans="1:3">
      <c r="A266" s="75">
        <v>45919</v>
      </c>
      <c r="B266" s="36" t="s">
        <v>248</v>
      </c>
      <c r="C266" s="36" t="s">
        <v>246</v>
      </c>
    </row>
    <row r="267" spans="1:3">
      <c r="A267" s="75">
        <v>45920</v>
      </c>
      <c r="B267" s="36" t="s">
        <v>249</v>
      </c>
      <c r="C267" s="36" t="s">
        <v>246</v>
      </c>
    </row>
    <row r="268" spans="1:3">
      <c r="A268" s="75">
        <v>45921</v>
      </c>
      <c r="B268" s="36" t="s">
        <v>249</v>
      </c>
      <c r="C268" s="36" t="s">
        <v>246</v>
      </c>
    </row>
    <row r="269" spans="1:3">
      <c r="A269" s="75">
        <v>45922</v>
      </c>
      <c r="B269" s="36" t="s">
        <v>249</v>
      </c>
      <c r="C269" s="36" t="s">
        <v>246</v>
      </c>
    </row>
    <row r="270" spans="1:3">
      <c r="A270" s="75">
        <v>45923</v>
      </c>
      <c r="B270" s="36" t="s">
        <v>249</v>
      </c>
      <c r="C270" s="36" t="s">
        <v>246</v>
      </c>
    </row>
    <row r="271" spans="1:3">
      <c r="A271" s="75">
        <v>45924</v>
      </c>
      <c r="B271" s="36" t="s">
        <v>249</v>
      </c>
      <c r="C271" s="36" t="s">
        <v>246</v>
      </c>
    </row>
    <row r="272" spans="1:3">
      <c r="A272" s="75">
        <v>45925</v>
      </c>
      <c r="B272" s="36" t="s">
        <v>249</v>
      </c>
      <c r="C272" s="36" t="s">
        <v>246</v>
      </c>
    </row>
    <row r="273" spans="1:3">
      <c r="A273" s="75">
        <v>45926</v>
      </c>
      <c r="B273" s="36" t="s">
        <v>249</v>
      </c>
      <c r="C273" s="36" t="s">
        <v>246</v>
      </c>
    </row>
    <row r="274" spans="1:3">
      <c r="A274" s="75">
        <v>45927</v>
      </c>
      <c r="B274" s="36" t="s">
        <v>250</v>
      </c>
      <c r="C274" s="36" t="s">
        <v>246</v>
      </c>
    </row>
    <row r="275" spans="1:3">
      <c r="A275" s="75">
        <v>45928</v>
      </c>
      <c r="B275" s="36" t="s">
        <v>250</v>
      </c>
      <c r="C275" s="36" t="s">
        <v>246</v>
      </c>
    </row>
    <row r="276" spans="1:3">
      <c r="A276" s="75">
        <v>45929</v>
      </c>
      <c r="B276" s="36" t="s">
        <v>250</v>
      </c>
      <c r="C276" s="36" t="s">
        <v>246</v>
      </c>
    </row>
    <row r="277" spans="1:3">
      <c r="A277" s="75">
        <v>45930</v>
      </c>
      <c r="B277" s="36" t="s">
        <v>250</v>
      </c>
      <c r="C277" s="36" t="s">
        <v>246</v>
      </c>
    </row>
    <row r="278" spans="1:3">
      <c r="A278" s="75">
        <v>45931</v>
      </c>
      <c r="B278" s="36" t="s">
        <v>250</v>
      </c>
      <c r="C278" s="36" t="s">
        <v>251</v>
      </c>
    </row>
    <row r="279" spans="1:3">
      <c r="A279" s="75">
        <v>45932</v>
      </c>
      <c r="B279" s="36" t="s">
        <v>250</v>
      </c>
      <c r="C279" s="36" t="s">
        <v>251</v>
      </c>
    </row>
    <row r="280" spans="1:3">
      <c r="A280" s="75">
        <v>45933</v>
      </c>
      <c r="B280" s="36" t="s">
        <v>250</v>
      </c>
      <c r="C280" s="36" t="s">
        <v>251</v>
      </c>
    </row>
    <row r="281" spans="1:3">
      <c r="A281" s="75">
        <v>45934</v>
      </c>
      <c r="B281" s="36" t="s">
        <v>252</v>
      </c>
      <c r="C281" s="36" t="s">
        <v>251</v>
      </c>
    </row>
    <row r="282" spans="1:3">
      <c r="A282" s="75">
        <v>45935</v>
      </c>
      <c r="B282" s="36" t="s">
        <v>252</v>
      </c>
      <c r="C282" s="36" t="s">
        <v>251</v>
      </c>
    </row>
    <row r="283" spans="1:3">
      <c r="A283" s="75">
        <v>45936</v>
      </c>
      <c r="B283" s="36" t="s">
        <v>252</v>
      </c>
      <c r="C283" s="36" t="s">
        <v>251</v>
      </c>
    </row>
    <row r="284" spans="1:3">
      <c r="A284" s="75">
        <v>45937</v>
      </c>
      <c r="B284" s="36" t="s">
        <v>252</v>
      </c>
      <c r="C284" s="36" t="s">
        <v>251</v>
      </c>
    </row>
    <row r="285" spans="1:3">
      <c r="A285" s="75">
        <v>45938</v>
      </c>
      <c r="B285" s="36" t="s">
        <v>252</v>
      </c>
      <c r="C285" s="36" t="s">
        <v>251</v>
      </c>
    </row>
    <row r="286" spans="1:3">
      <c r="A286" s="75">
        <v>45939</v>
      </c>
      <c r="B286" s="36" t="s">
        <v>252</v>
      </c>
      <c r="C286" s="36" t="s">
        <v>251</v>
      </c>
    </row>
    <row r="287" spans="1:3">
      <c r="A287" s="75">
        <v>45940</v>
      </c>
      <c r="B287" s="36" t="s">
        <v>252</v>
      </c>
      <c r="C287" s="36" t="s">
        <v>251</v>
      </c>
    </row>
    <row r="288" spans="1:3">
      <c r="A288" s="75">
        <v>45941</v>
      </c>
      <c r="B288" s="36" t="s">
        <v>253</v>
      </c>
      <c r="C288" s="36" t="s">
        <v>251</v>
      </c>
    </row>
    <row r="289" spans="1:3">
      <c r="A289" s="75">
        <v>45942</v>
      </c>
      <c r="B289" s="36" t="s">
        <v>253</v>
      </c>
      <c r="C289" s="36" t="s">
        <v>251</v>
      </c>
    </row>
    <row r="290" spans="1:3">
      <c r="A290" s="75">
        <v>45943</v>
      </c>
      <c r="B290" s="36" t="s">
        <v>253</v>
      </c>
      <c r="C290" s="36" t="s">
        <v>251</v>
      </c>
    </row>
    <row r="291" spans="1:3">
      <c r="A291" s="75">
        <v>45944</v>
      </c>
      <c r="B291" s="36" t="s">
        <v>253</v>
      </c>
      <c r="C291" s="36" t="s">
        <v>251</v>
      </c>
    </row>
    <row r="292" spans="1:3">
      <c r="A292" s="75">
        <v>45945</v>
      </c>
      <c r="B292" s="36" t="s">
        <v>253</v>
      </c>
      <c r="C292" s="36" t="s">
        <v>251</v>
      </c>
    </row>
    <row r="293" spans="1:3">
      <c r="A293" s="75">
        <v>45946</v>
      </c>
      <c r="B293" s="36" t="s">
        <v>253</v>
      </c>
      <c r="C293" s="36" t="s">
        <v>251</v>
      </c>
    </row>
    <row r="294" spans="1:3">
      <c r="A294" s="75">
        <v>45947</v>
      </c>
      <c r="B294" s="36" t="s">
        <v>253</v>
      </c>
      <c r="C294" s="36" t="s">
        <v>251</v>
      </c>
    </row>
    <row r="295" spans="1:3">
      <c r="A295" s="75">
        <v>45948</v>
      </c>
      <c r="B295" s="36" t="s">
        <v>254</v>
      </c>
      <c r="C295" s="36" t="s">
        <v>251</v>
      </c>
    </row>
    <row r="296" spans="1:3">
      <c r="A296" s="75">
        <v>45949</v>
      </c>
      <c r="B296" s="36" t="s">
        <v>254</v>
      </c>
      <c r="C296" s="36" t="s">
        <v>251</v>
      </c>
    </row>
    <row r="297" spans="1:3">
      <c r="A297" s="75">
        <v>45950</v>
      </c>
      <c r="B297" s="36" t="s">
        <v>254</v>
      </c>
      <c r="C297" s="36" t="s">
        <v>251</v>
      </c>
    </row>
    <row r="298" spans="1:3">
      <c r="A298" s="75">
        <v>45951</v>
      </c>
      <c r="B298" s="36" t="s">
        <v>254</v>
      </c>
      <c r="C298" s="36" t="s">
        <v>251</v>
      </c>
    </row>
    <row r="299" spans="1:3">
      <c r="A299" s="75">
        <v>45952</v>
      </c>
      <c r="B299" s="36" t="s">
        <v>254</v>
      </c>
      <c r="C299" s="36" t="s">
        <v>251</v>
      </c>
    </row>
    <row r="300" spans="1:3">
      <c r="A300" s="75">
        <v>45953</v>
      </c>
      <c r="B300" s="36" t="s">
        <v>254</v>
      </c>
      <c r="C300" s="36" t="s">
        <v>251</v>
      </c>
    </row>
    <row r="301" spans="1:3">
      <c r="A301" s="75">
        <v>45954</v>
      </c>
      <c r="B301" s="36" t="s">
        <v>254</v>
      </c>
      <c r="C301" s="36" t="s">
        <v>251</v>
      </c>
    </row>
    <row r="302" spans="1:3">
      <c r="A302" s="75">
        <v>45955</v>
      </c>
      <c r="B302" s="36" t="s">
        <v>255</v>
      </c>
      <c r="C302" s="36" t="s">
        <v>251</v>
      </c>
    </row>
    <row r="303" spans="1:3">
      <c r="A303" s="75">
        <v>45956</v>
      </c>
      <c r="B303" s="36" t="s">
        <v>255</v>
      </c>
      <c r="C303" s="36" t="s">
        <v>251</v>
      </c>
    </row>
    <row r="304" spans="1:3">
      <c r="A304" s="75">
        <v>45957</v>
      </c>
      <c r="B304" s="36" t="s">
        <v>255</v>
      </c>
      <c r="C304" s="36" t="s">
        <v>251</v>
      </c>
    </row>
    <row r="305" spans="1:3">
      <c r="A305" s="75">
        <v>45958</v>
      </c>
      <c r="B305" s="36" t="s">
        <v>255</v>
      </c>
      <c r="C305" s="36" t="s">
        <v>251</v>
      </c>
    </row>
    <row r="306" spans="1:3">
      <c r="A306" s="75">
        <v>45959</v>
      </c>
      <c r="B306" s="36" t="s">
        <v>255</v>
      </c>
      <c r="C306" s="36" t="s">
        <v>251</v>
      </c>
    </row>
    <row r="307" spans="1:3">
      <c r="A307" s="75">
        <v>45960</v>
      </c>
      <c r="B307" s="36" t="s">
        <v>255</v>
      </c>
      <c r="C307" s="36" t="s">
        <v>251</v>
      </c>
    </row>
    <row r="308" spans="1:3">
      <c r="A308" s="75">
        <v>45961</v>
      </c>
      <c r="B308" s="36" t="s">
        <v>255</v>
      </c>
      <c r="C308" s="36" t="s">
        <v>251</v>
      </c>
    </row>
    <row r="309" spans="1:3">
      <c r="A309" s="75">
        <v>45962</v>
      </c>
      <c r="B309" s="36" t="s">
        <v>256</v>
      </c>
      <c r="C309" s="36" t="s">
        <v>257</v>
      </c>
    </row>
    <row r="310" spans="1:3">
      <c r="A310" s="75">
        <v>45963</v>
      </c>
      <c r="B310" s="36" t="s">
        <v>256</v>
      </c>
      <c r="C310" s="36" t="s">
        <v>257</v>
      </c>
    </row>
    <row r="311" spans="1:3">
      <c r="A311" s="75">
        <v>45964</v>
      </c>
      <c r="B311" s="36" t="s">
        <v>256</v>
      </c>
      <c r="C311" s="36" t="s">
        <v>257</v>
      </c>
    </row>
    <row r="312" spans="1:3">
      <c r="A312" s="75">
        <v>45965</v>
      </c>
      <c r="B312" s="36" t="s">
        <v>256</v>
      </c>
      <c r="C312" s="36" t="s">
        <v>257</v>
      </c>
    </row>
    <row r="313" spans="1:3">
      <c r="A313" s="75">
        <v>45966</v>
      </c>
      <c r="B313" s="36" t="s">
        <v>256</v>
      </c>
      <c r="C313" s="36" t="s">
        <v>257</v>
      </c>
    </row>
    <row r="314" spans="1:3">
      <c r="A314" s="75">
        <v>45967</v>
      </c>
      <c r="B314" s="36" t="s">
        <v>256</v>
      </c>
      <c r="C314" s="36" t="s">
        <v>257</v>
      </c>
    </row>
    <row r="315" spans="1:3">
      <c r="A315" s="75">
        <v>45968</v>
      </c>
      <c r="B315" s="36" t="s">
        <v>256</v>
      </c>
      <c r="C315" s="36" t="s">
        <v>257</v>
      </c>
    </row>
    <row r="316" spans="1:3">
      <c r="A316" s="75">
        <v>45969</v>
      </c>
      <c r="B316" s="36" t="s">
        <v>258</v>
      </c>
      <c r="C316" s="36" t="s">
        <v>257</v>
      </c>
    </row>
    <row r="317" spans="1:3">
      <c r="A317" s="75">
        <v>45970</v>
      </c>
      <c r="B317" s="36" t="s">
        <v>258</v>
      </c>
      <c r="C317" s="36" t="s">
        <v>257</v>
      </c>
    </row>
    <row r="318" spans="1:3">
      <c r="A318" s="75">
        <v>45971</v>
      </c>
      <c r="B318" s="36" t="s">
        <v>258</v>
      </c>
      <c r="C318" s="36" t="s">
        <v>257</v>
      </c>
    </row>
    <row r="319" spans="1:3">
      <c r="A319" s="75">
        <v>45972</v>
      </c>
      <c r="B319" s="36" t="s">
        <v>258</v>
      </c>
      <c r="C319" s="36" t="s">
        <v>257</v>
      </c>
    </row>
    <row r="320" spans="1:3">
      <c r="A320" s="75">
        <v>45973</v>
      </c>
      <c r="B320" s="36" t="s">
        <v>258</v>
      </c>
      <c r="C320" s="36" t="s">
        <v>257</v>
      </c>
    </row>
    <row r="321" spans="1:3">
      <c r="A321" s="75">
        <v>45974</v>
      </c>
      <c r="B321" s="36" t="s">
        <v>258</v>
      </c>
      <c r="C321" s="36" t="s">
        <v>257</v>
      </c>
    </row>
    <row r="322" spans="1:3">
      <c r="A322" s="75">
        <v>45975</v>
      </c>
      <c r="B322" s="36" t="s">
        <v>258</v>
      </c>
      <c r="C322" s="36" t="s">
        <v>257</v>
      </c>
    </row>
    <row r="323" spans="1:3">
      <c r="A323" s="75">
        <v>45976</v>
      </c>
      <c r="B323" s="36" t="s">
        <v>259</v>
      </c>
      <c r="C323" s="36" t="s">
        <v>257</v>
      </c>
    </row>
    <row r="324" spans="1:3">
      <c r="A324" s="75">
        <v>45977</v>
      </c>
      <c r="B324" s="36" t="s">
        <v>259</v>
      </c>
      <c r="C324" s="36" t="s">
        <v>257</v>
      </c>
    </row>
    <row r="325" spans="1:3">
      <c r="A325" s="75">
        <v>45978</v>
      </c>
      <c r="B325" s="36" t="s">
        <v>259</v>
      </c>
      <c r="C325" s="36" t="s">
        <v>257</v>
      </c>
    </row>
    <row r="326" spans="1:3">
      <c r="A326" s="75">
        <v>45979</v>
      </c>
      <c r="B326" s="36" t="s">
        <v>259</v>
      </c>
      <c r="C326" s="36" t="s">
        <v>257</v>
      </c>
    </row>
    <row r="327" spans="1:3">
      <c r="A327" s="75">
        <v>45980</v>
      </c>
      <c r="B327" s="36" t="s">
        <v>259</v>
      </c>
      <c r="C327" s="36" t="s">
        <v>257</v>
      </c>
    </row>
    <row r="328" spans="1:3">
      <c r="A328" s="75">
        <v>45981</v>
      </c>
      <c r="B328" s="36" t="s">
        <v>259</v>
      </c>
      <c r="C328" s="36" t="s">
        <v>257</v>
      </c>
    </row>
    <row r="329" spans="1:3">
      <c r="A329" s="75">
        <v>45982</v>
      </c>
      <c r="B329" s="36" t="s">
        <v>259</v>
      </c>
      <c r="C329" s="36" t="s">
        <v>257</v>
      </c>
    </row>
    <row r="330" spans="1:3">
      <c r="A330" s="75">
        <v>45983</v>
      </c>
      <c r="B330" s="36" t="s">
        <v>260</v>
      </c>
      <c r="C330" s="36" t="s">
        <v>257</v>
      </c>
    </row>
    <row r="331" spans="1:3">
      <c r="A331" s="75">
        <v>45984</v>
      </c>
      <c r="B331" s="36" t="s">
        <v>260</v>
      </c>
      <c r="C331" s="36" t="s">
        <v>257</v>
      </c>
    </row>
    <row r="332" spans="1:3">
      <c r="A332" s="75">
        <v>45985</v>
      </c>
      <c r="B332" s="36" t="s">
        <v>260</v>
      </c>
      <c r="C332" s="36" t="s">
        <v>257</v>
      </c>
    </row>
    <row r="333" spans="1:3">
      <c r="A333" s="75">
        <v>45986</v>
      </c>
      <c r="B333" s="36" t="s">
        <v>260</v>
      </c>
      <c r="C333" s="36" t="s">
        <v>257</v>
      </c>
    </row>
    <row r="334" spans="1:3">
      <c r="A334" s="75">
        <v>45987</v>
      </c>
      <c r="B334" s="36" t="s">
        <v>260</v>
      </c>
      <c r="C334" s="36" t="s">
        <v>257</v>
      </c>
    </row>
    <row r="335" spans="1:3">
      <c r="A335" s="75">
        <v>45988</v>
      </c>
      <c r="B335" s="36" t="s">
        <v>260</v>
      </c>
      <c r="C335" s="36" t="s">
        <v>257</v>
      </c>
    </row>
    <row r="336" spans="1:3">
      <c r="A336" s="75">
        <v>45989</v>
      </c>
      <c r="B336" s="36" t="s">
        <v>260</v>
      </c>
      <c r="C336" s="36" t="s">
        <v>257</v>
      </c>
    </row>
    <row r="337" spans="1:3">
      <c r="A337" s="75">
        <v>45990</v>
      </c>
      <c r="B337" s="36" t="s">
        <v>261</v>
      </c>
      <c r="C337" s="36" t="s">
        <v>257</v>
      </c>
    </row>
    <row r="338" spans="1:3">
      <c r="A338" s="75">
        <v>45991</v>
      </c>
      <c r="B338" s="36" t="s">
        <v>261</v>
      </c>
      <c r="C338" s="36" t="s">
        <v>257</v>
      </c>
    </row>
    <row r="339" spans="1:3">
      <c r="A339" s="75">
        <v>45992</v>
      </c>
      <c r="B339" s="36" t="s">
        <v>261</v>
      </c>
      <c r="C339" s="36" t="s">
        <v>262</v>
      </c>
    </row>
    <row r="340" spans="1:3">
      <c r="A340" s="75">
        <v>45993</v>
      </c>
      <c r="B340" s="36" t="s">
        <v>261</v>
      </c>
      <c r="C340" s="36" t="s">
        <v>262</v>
      </c>
    </row>
    <row r="341" spans="1:3">
      <c r="A341" s="75">
        <v>45994</v>
      </c>
      <c r="B341" s="36" t="s">
        <v>261</v>
      </c>
      <c r="C341" s="36" t="s">
        <v>262</v>
      </c>
    </row>
    <row r="342" spans="1:3">
      <c r="A342" s="75">
        <v>45995</v>
      </c>
      <c r="B342" s="36" t="s">
        <v>261</v>
      </c>
      <c r="C342" s="36" t="s">
        <v>262</v>
      </c>
    </row>
    <row r="343" spans="1:3">
      <c r="A343" s="75">
        <v>45996</v>
      </c>
      <c r="B343" s="36" t="s">
        <v>261</v>
      </c>
      <c r="C343" s="36" t="s">
        <v>262</v>
      </c>
    </row>
    <row r="344" spans="1:3">
      <c r="A344" s="75">
        <v>45997</v>
      </c>
      <c r="B344" s="36" t="s">
        <v>263</v>
      </c>
      <c r="C344" s="36" t="s">
        <v>262</v>
      </c>
    </row>
    <row r="345" spans="1:3">
      <c r="A345" s="75">
        <v>45998</v>
      </c>
      <c r="B345" s="36" t="s">
        <v>263</v>
      </c>
      <c r="C345" s="36" t="s">
        <v>262</v>
      </c>
    </row>
    <row r="346" spans="1:3">
      <c r="A346" s="75">
        <v>45999</v>
      </c>
      <c r="B346" s="36" t="s">
        <v>263</v>
      </c>
      <c r="C346" s="36" t="s">
        <v>262</v>
      </c>
    </row>
    <row r="347" spans="1:3">
      <c r="A347" s="75">
        <v>46000</v>
      </c>
      <c r="B347" s="36" t="s">
        <v>263</v>
      </c>
      <c r="C347" s="36" t="s">
        <v>262</v>
      </c>
    </row>
    <row r="348" spans="1:3">
      <c r="A348" s="75">
        <v>46001</v>
      </c>
      <c r="B348" s="36" t="s">
        <v>263</v>
      </c>
      <c r="C348" s="36" t="s">
        <v>262</v>
      </c>
    </row>
    <row r="349" spans="1:3">
      <c r="A349" s="75">
        <v>46002</v>
      </c>
      <c r="B349" s="36" t="s">
        <v>263</v>
      </c>
      <c r="C349" s="36" t="s">
        <v>262</v>
      </c>
    </row>
    <row r="350" spans="1:3">
      <c r="A350" s="75">
        <v>46003</v>
      </c>
      <c r="B350" s="36" t="s">
        <v>263</v>
      </c>
      <c r="C350" s="36" t="s">
        <v>262</v>
      </c>
    </row>
    <row r="351" spans="1:3">
      <c r="A351" s="75">
        <v>46004</v>
      </c>
      <c r="B351" s="36" t="s">
        <v>264</v>
      </c>
      <c r="C351" s="36" t="s">
        <v>262</v>
      </c>
    </row>
    <row r="352" spans="1:3">
      <c r="A352" s="75">
        <v>46005</v>
      </c>
      <c r="B352" s="36" t="s">
        <v>264</v>
      </c>
      <c r="C352" s="36" t="s">
        <v>262</v>
      </c>
    </row>
    <row r="353" spans="1:3">
      <c r="A353" s="75">
        <v>46006</v>
      </c>
      <c r="B353" s="36" t="s">
        <v>264</v>
      </c>
      <c r="C353" s="36" t="s">
        <v>262</v>
      </c>
    </row>
    <row r="354" spans="1:3">
      <c r="A354" s="75">
        <v>46007</v>
      </c>
      <c r="B354" s="36" t="s">
        <v>264</v>
      </c>
      <c r="C354" s="36" t="s">
        <v>262</v>
      </c>
    </row>
    <row r="355" spans="1:3">
      <c r="A355" s="75">
        <v>46008</v>
      </c>
      <c r="B355" s="36" t="s">
        <v>264</v>
      </c>
      <c r="C355" s="36" t="s">
        <v>262</v>
      </c>
    </row>
    <row r="356" spans="1:3">
      <c r="A356" s="75">
        <v>46009</v>
      </c>
      <c r="B356" s="36" t="s">
        <v>264</v>
      </c>
      <c r="C356" s="36" t="s">
        <v>262</v>
      </c>
    </row>
    <row r="357" spans="1:3">
      <c r="A357" s="75">
        <v>46010</v>
      </c>
      <c r="B357" s="36" t="s">
        <v>264</v>
      </c>
      <c r="C357" s="36" t="s">
        <v>262</v>
      </c>
    </row>
    <row r="358" spans="1:3">
      <c r="A358" s="75">
        <v>46011</v>
      </c>
      <c r="B358" s="36" t="s">
        <v>265</v>
      </c>
      <c r="C358" s="36" t="s">
        <v>262</v>
      </c>
    </row>
    <row r="359" spans="1:3">
      <c r="A359" s="75">
        <v>46012</v>
      </c>
      <c r="B359" s="36" t="s">
        <v>265</v>
      </c>
      <c r="C359" s="36" t="s">
        <v>262</v>
      </c>
    </row>
    <row r="360" spans="1:3">
      <c r="A360" s="75">
        <v>46013</v>
      </c>
      <c r="B360" s="36" t="s">
        <v>265</v>
      </c>
      <c r="C360" s="36" t="s">
        <v>262</v>
      </c>
    </row>
    <row r="361" spans="1:3">
      <c r="A361" s="75">
        <v>46014</v>
      </c>
      <c r="B361" s="36" t="s">
        <v>265</v>
      </c>
      <c r="C361" s="36" t="s">
        <v>262</v>
      </c>
    </row>
    <row r="362" spans="1:3">
      <c r="A362" s="75">
        <v>46015</v>
      </c>
      <c r="B362" s="36" t="s">
        <v>265</v>
      </c>
      <c r="C362" s="36" t="s">
        <v>262</v>
      </c>
    </row>
    <row r="363" spans="1:3">
      <c r="A363" s="75">
        <v>46016</v>
      </c>
      <c r="B363" s="36" t="s">
        <v>265</v>
      </c>
      <c r="C363" s="36" t="s">
        <v>262</v>
      </c>
    </row>
    <row r="364" spans="1:3">
      <c r="A364" s="75">
        <v>46017</v>
      </c>
      <c r="B364" s="36" t="s">
        <v>265</v>
      </c>
      <c r="C364" s="36" t="s">
        <v>262</v>
      </c>
    </row>
    <row r="365" spans="1:3">
      <c r="A365" s="75">
        <v>46018</v>
      </c>
      <c r="B365" s="36" t="s">
        <v>266</v>
      </c>
      <c r="C365" s="36" t="s">
        <v>262</v>
      </c>
    </row>
    <row r="366" spans="1:3">
      <c r="A366" s="75">
        <v>46019</v>
      </c>
      <c r="B366" s="36" t="s">
        <v>266</v>
      </c>
      <c r="C366" s="36" t="s">
        <v>262</v>
      </c>
    </row>
    <row r="367" spans="1:3">
      <c r="A367" s="75">
        <v>46020</v>
      </c>
      <c r="B367" s="36" t="s">
        <v>266</v>
      </c>
      <c r="C367" s="36" t="s">
        <v>262</v>
      </c>
    </row>
    <row r="368" spans="1:3">
      <c r="A368" s="75">
        <v>46021</v>
      </c>
      <c r="B368" s="36" t="s">
        <v>266</v>
      </c>
      <c r="C368" s="36" t="s">
        <v>262</v>
      </c>
    </row>
    <row r="369" spans="1:3">
      <c r="A369" s="75">
        <v>46022</v>
      </c>
      <c r="B369" s="36" t="s">
        <v>266</v>
      </c>
      <c r="C369" s="36" t="s">
        <v>262</v>
      </c>
    </row>
    <row r="370" spans="1:3">
      <c r="A370" s="75"/>
    </row>
    <row r="371" spans="1:3">
      <c r="A371" s="75"/>
    </row>
    <row r="372" spans="1:3">
      <c r="A372" s="75"/>
    </row>
    <row r="373" spans="1:3">
      <c r="A373" s="75"/>
    </row>
    <row r="374" spans="1:3">
      <c r="A374" s="75"/>
    </row>
    <row r="375" spans="1:3">
      <c r="A375" s="75"/>
    </row>
    <row r="376" spans="1:3">
      <c r="A376" s="75"/>
    </row>
    <row r="377" spans="1:3">
      <c r="A377" s="75"/>
    </row>
    <row r="378" spans="1:3">
      <c r="A378" s="75"/>
    </row>
    <row r="379" spans="1:3">
      <c r="A379" s="75"/>
    </row>
    <row r="380" spans="1:3">
      <c r="A380" s="75"/>
    </row>
    <row r="381" spans="1:3">
      <c r="A381" s="75"/>
    </row>
    <row r="382" spans="1:3">
      <c r="A382" s="75"/>
    </row>
    <row r="383" spans="1:3">
      <c r="A383" s="75"/>
    </row>
    <row r="384" spans="1:3">
      <c r="A384" s="75"/>
    </row>
    <row r="385" spans="1:1">
      <c r="A385" s="75"/>
    </row>
    <row r="386" spans="1:1">
      <c r="A386" s="75"/>
    </row>
    <row r="387" spans="1:1">
      <c r="A387" s="75"/>
    </row>
    <row r="388" spans="1:1">
      <c r="A388" s="75"/>
    </row>
    <row r="389" spans="1:1">
      <c r="A389" s="75"/>
    </row>
    <row r="390" spans="1:1">
      <c r="A390" s="75"/>
    </row>
    <row r="391" spans="1:1">
      <c r="A391" s="75"/>
    </row>
    <row r="392" spans="1:1">
      <c r="A392" s="75"/>
    </row>
    <row r="393" spans="1:1">
      <c r="A393" s="75"/>
    </row>
    <row r="394" spans="1:1">
      <c r="A394" s="75"/>
    </row>
    <row r="395" spans="1:1">
      <c r="A395" s="75"/>
    </row>
    <row r="396" spans="1:1">
      <c r="A396" s="75"/>
    </row>
    <row r="397" spans="1:1">
      <c r="A397" s="75"/>
    </row>
    <row r="398" spans="1:1">
      <c r="A398" s="75"/>
    </row>
    <row r="399" spans="1:1">
      <c r="A399" s="75"/>
    </row>
    <row r="400" spans="1:1">
      <c r="A400" s="75"/>
    </row>
    <row r="401" spans="1:1">
      <c r="A401" s="75"/>
    </row>
    <row r="402" spans="1:1">
      <c r="A402" s="75"/>
    </row>
    <row r="403" spans="1:1">
      <c r="A403" s="75"/>
    </row>
    <row r="404" spans="1:1">
      <c r="A404" s="75"/>
    </row>
    <row r="405" spans="1:1">
      <c r="A405" s="75"/>
    </row>
    <row r="406" spans="1:1">
      <c r="A406" s="75"/>
    </row>
    <row r="407" spans="1:1">
      <c r="A407" s="75"/>
    </row>
    <row r="408" spans="1:1">
      <c r="A408" s="75"/>
    </row>
    <row r="409" spans="1:1">
      <c r="A409" s="75"/>
    </row>
    <row r="410" spans="1:1">
      <c r="A410" s="75"/>
    </row>
    <row r="411" spans="1:1">
      <c r="A411" s="75"/>
    </row>
    <row r="412" spans="1:1">
      <c r="A412" s="75"/>
    </row>
    <row r="413" spans="1:1">
      <c r="A413" s="75"/>
    </row>
    <row r="414" spans="1:1">
      <c r="A414" s="75"/>
    </row>
    <row r="415" spans="1:1">
      <c r="A415" s="75"/>
    </row>
    <row r="416" spans="1:1">
      <c r="A416" s="75"/>
    </row>
    <row r="417" spans="1:1">
      <c r="A417" s="75"/>
    </row>
    <row r="418" spans="1:1">
      <c r="A418" s="75"/>
    </row>
    <row r="419" spans="1:1">
      <c r="A419" s="75"/>
    </row>
    <row r="420" spans="1:1">
      <c r="A420" s="75"/>
    </row>
    <row r="421" spans="1:1">
      <c r="A421" s="75"/>
    </row>
    <row r="422" spans="1:1">
      <c r="A422" s="75"/>
    </row>
    <row r="423" spans="1:1">
      <c r="A423" s="75"/>
    </row>
    <row r="424" spans="1:1">
      <c r="A424" s="75"/>
    </row>
    <row r="425" spans="1:1">
      <c r="A425" s="75"/>
    </row>
    <row r="426" spans="1:1">
      <c r="A426" s="75"/>
    </row>
    <row r="427" spans="1:1">
      <c r="A427" s="75"/>
    </row>
    <row r="428" spans="1:1">
      <c r="A428" s="75"/>
    </row>
    <row r="429" spans="1:1">
      <c r="A429" s="75"/>
    </row>
    <row r="430" spans="1:1">
      <c r="A430" s="75"/>
    </row>
    <row r="431" spans="1:1">
      <c r="A431" s="75"/>
    </row>
    <row r="432" spans="1:1">
      <c r="A432" s="75"/>
    </row>
    <row r="433" spans="1:1">
      <c r="A433" s="75"/>
    </row>
    <row r="434" spans="1:1">
      <c r="A434" s="75"/>
    </row>
    <row r="435" spans="1:1">
      <c r="A435" s="75"/>
    </row>
    <row r="436" spans="1:1">
      <c r="A436" s="75"/>
    </row>
    <row r="437" spans="1:1">
      <c r="A437" s="75"/>
    </row>
    <row r="438" spans="1:1">
      <c r="A438" s="75"/>
    </row>
    <row r="439" spans="1:1">
      <c r="A439" s="75"/>
    </row>
    <row r="440" spans="1:1">
      <c r="A440" s="75"/>
    </row>
    <row r="441" spans="1:1">
      <c r="A441" s="75"/>
    </row>
    <row r="442" spans="1:1">
      <c r="A442" s="75"/>
    </row>
    <row r="443" spans="1:1">
      <c r="A443" s="75"/>
    </row>
    <row r="444" spans="1:1">
      <c r="A444" s="75"/>
    </row>
    <row r="445" spans="1:1">
      <c r="A445" s="75"/>
    </row>
    <row r="446" spans="1:1">
      <c r="A446" s="75"/>
    </row>
    <row r="447" spans="1:1">
      <c r="A447" s="75"/>
    </row>
    <row r="448" spans="1:1">
      <c r="A448" s="75"/>
    </row>
    <row r="449" spans="1:1">
      <c r="A449" s="75"/>
    </row>
    <row r="450" spans="1:1">
      <c r="A450" s="75"/>
    </row>
    <row r="451" spans="1:1">
      <c r="A451" s="75"/>
    </row>
    <row r="452" spans="1:1">
      <c r="A452" s="75"/>
    </row>
    <row r="453" spans="1:1">
      <c r="A453" s="75"/>
    </row>
    <row r="454" spans="1:1">
      <c r="A454" s="75"/>
    </row>
    <row r="455" spans="1:1">
      <c r="A455" s="75"/>
    </row>
    <row r="456" spans="1:1">
      <c r="A456" s="75"/>
    </row>
    <row r="457" spans="1:1">
      <c r="A457" s="75"/>
    </row>
    <row r="458" spans="1:1">
      <c r="A458" s="75"/>
    </row>
    <row r="459" spans="1:1">
      <c r="A459" s="75"/>
    </row>
    <row r="460" spans="1:1">
      <c r="A460" s="75"/>
    </row>
    <row r="461" spans="1:1">
      <c r="A461" s="75"/>
    </row>
    <row r="462" spans="1:1">
      <c r="A462" s="75"/>
    </row>
    <row r="463" spans="1:1">
      <c r="A463" s="75"/>
    </row>
    <row r="464" spans="1:1">
      <c r="A464" s="75"/>
    </row>
    <row r="465" spans="1:1">
      <c r="A465" s="75"/>
    </row>
    <row r="466" spans="1:1">
      <c r="A466" s="75"/>
    </row>
    <row r="467" spans="1:1">
      <c r="A467" s="75"/>
    </row>
    <row r="468" spans="1:1">
      <c r="A468" s="75"/>
    </row>
    <row r="469" spans="1:1">
      <c r="A469" s="75"/>
    </row>
    <row r="470" spans="1:1">
      <c r="A470" s="75"/>
    </row>
    <row r="471" spans="1:1">
      <c r="A471" s="75"/>
    </row>
    <row r="472" spans="1:1">
      <c r="A472" s="75"/>
    </row>
    <row r="473" spans="1:1">
      <c r="A473" s="75"/>
    </row>
    <row r="474" spans="1:1">
      <c r="A474" s="75"/>
    </row>
    <row r="475" spans="1:1">
      <c r="A475" s="75"/>
    </row>
    <row r="476" spans="1:1">
      <c r="A476" s="75"/>
    </row>
    <row r="477" spans="1:1">
      <c r="A477" s="75"/>
    </row>
    <row r="478" spans="1:1">
      <c r="A478" s="75"/>
    </row>
    <row r="479" spans="1:1">
      <c r="A479" s="75"/>
    </row>
    <row r="480" spans="1:1">
      <c r="A480" s="75"/>
    </row>
    <row r="481" spans="1:1">
      <c r="A481" s="75"/>
    </row>
    <row r="482" spans="1:1">
      <c r="A482" s="75"/>
    </row>
    <row r="483" spans="1:1">
      <c r="A483" s="75"/>
    </row>
    <row r="484" spans="1:1">
      <c r="A484" s="75"/>
    </row>
    <row r="485" spans="1:1">
      <c r="A485" s="75"/>
    </row>
    <row r="486" spans="1:1">
      <c r="A486" s="75"/>
    </row>
    <row r="487" spans="1:1">
      <c r="A487" s="75"/>
    </row>
    <row r="488" spans="1:1">
      <c r="A488" s="75"/>
    </row>
    <row r="489" spans="1:1">
      <c r="A489" s="75"/>
    </row>
    <row r="490" spans="1:1">
      <c r="A490" s="75"/>
    </row>
    <row r="491" spans="1:1">
      <c r="A491" s="75"/>
    </row>
    <row r="492" spans="1:1">
      <c r="A492" s="75"/>
    </row>
    <row r="493" spans="1:1">
      <c r="A493" s="75"/>
    </row>
    <row r="494" spans="1:1">
      <c r="A494" s="75"/>
    </row>
    <row r="495" spans="1:1">
      <c r="A495" s="75"/>
    </row>
    <row r="496" spans="1:1">
      <c r="A496" s="75"/>
    </row>
    <row r="497" spans="1:1">
      <c r="A497" s="75"/>
    </row>
    <row r="498" spans="1:1">
      <c r="A498" s="75"/>
    </row>
    <row r="499" spans="1:1">
      <c r="A499" s="75"/>
    </row>
    <row r="500" spans="1:1">
      <c r="A500" s="75"/>
    </row>
    <row r="501" spans="1:1">
      <c r="A501" s="75"/>
    </row>
    <row r="502" spans="1:1">
      <c r="A502" s="75"/>
    </row>
    <row r="503" spans="1:1">
      <c r="A503" s="75"/>
    </row>
    <row r="504" spans="1:1">
      <c r="A504" s="75"/>
    </row>
    <row r="505" spans="1:1">
      <c r="A505" s="75"/>
    </row>
    <row r="506" spans="1:1">
      <c r="A506" s="75"/>
    </row>
    <row r="507" spans="1:1">
      <c r="A507" s="75"/>
    </row>
    <row r="508" spans="1:1">
      <c r="A508" s="75"/>
    </row>
    <row r="509" spans="1:1">
      <c r="A509" s="75"/>
    </row>
    <row r="510" spans="1:1">
      <c r="A510" s="75"/>
    </row>
    <row r="511" spans="1:1">
      <c r="A511" s="75"/>
    </row>
    <row r="512" spans="1:1">
      <c r="A512" s="75"/>
    </row>
    <row r="513" spans="1:1">
      <c r="A513" s="75"/>
    </row>
    <row r="514" spans="1:1">
      <c r="A514" s="75"/>
    </row>
    <row r="515" spans="1:1">
      <c r="A515" s="75"/>
    </row>
    <row r="516" spans="1:1">
      <c r="A516" s="75"/>
    </row>
    <row r="517" spans="1:1">
      <c r="A517" s="75"/>
    </row>
    <row r="518" spans="1:1">
      <c r="A518" s="75"/>
    </row>
    <row r="519" spans="1:1">
      <c r="A519" s="75"/>
    </row>
    <row r="520" spans="1:1">
      <c r="A520" s="75"/>
    </row>
    <row r="521" spans="1:1">
      <c r="A521" s="75"/>
    </row>
    <row r="522" spans="1:1">
      <c r="A522" s="75"/>
    </row>
    <row r="523" spans="1:1">
      <c r="A523" s="75"/>
    </row>
    <row r="524" spans="1:1">
      <c r="A524" s="75"/>
    </row>
    <row r="525" spans="1:1">
      <c r="A525" s="75"/>
    </row>
    <row r="526" spans="1:1">
      <c r="A526" s="75"/>
    </row>
    <row r="527" spans="1:1">
      <c r="A527" s="75"/>
    </row>
    <row r="528" spans="1:1">
      <c r="A528" s="75"/>
    </row>
    <row r="529" spans="1:1">
      <c r="A529" s="75"/>
    </row>
    <row r="530" spans="1:1">
      <c r="A530" s="75"/>
    </row>
    <row r="531" spans="1:1">
      <c r="A531" s="75"/>
    </row>
    <row r="532" spans="1:1">
      <c r="A532" s="75"/>
    </row>
    <row r="533" spans="1:1">
      <c r="A533" s="75"/>
    </row>
    <row r="534" spans="1:1">
      <c r="A534" s="75"/>
    </row>
    <row r="535" spans="1:1">
      <c r="A535" s="75"/>
    </row>
    <row r="536" spans="1:1">
      <c r="A536" s="75"/>
    </row>
    <row r="537" spans="1:1">
      <c r="A537" s="75"/>
    </row>
    <row r="538" spans="1:1">
      <c r="A538" s="75"/>
    </row>
    <row r="539" spans="1:1">
      <c r="A539" s="75"/>
    </row>
    <row r="540" spans="1:1">
      <c r="A540" s="75"/>
    </row>
    <row r="541" spans="1:1">
      <c r="A541" s="75"/>
    </row>
    <row r="542" spans="1:1">
      <c r="A542" s="75"/>
    </row>
    <row r="543" spans="1:1">
      <c r="A543" s="75"/>
    </row>
    <row r="544" spans="1:1">
      <c r="A544" s="75"/>
    </row>
    <row r="545" spans="1:1">
      <c r="A545" s="75"/>
    </row>
    <row r="546" spans="1:1">
      <c r="A546" s="75"/>
    </row>
    <row r="547" spans="1:1">
      <c r="A547" s="75"/>
    </row>
    <row r="548" spans="1:1">
      <c r="A548" s="75"/>
    </row>
    <row r="549" spans="1:1">
      <c r="A549" s="75"/>
    </row>
    <row r="550" spans="1:1">
      <c r="A550" s="75"/>
    </row>
    <row r="551" spans="1:1">
      <c r="A551" s="75"/>
    </row>
    <row r="552" spans="1:1">
      <c r="A552" s="75"/>
    </row>
    <row r="553" spans="1:1">
      <c r="A553" s="75"/>
    </row>
    <row r="554" spans="1:1">
      <c r="A554" s="75"/>
    </row>
    <row r="555" spans="1:1">
      <c r="A555" s="75"/>
    </row>
    <row r="556" spans="1:1">
      <c r="A556" s="75"/>
    </row>
    <row r="557" spans="1:1">
      <c r="A557" s="75"/>
    </row>
    <row r="558" spans="1:1">
      <c r="A558" s="75"/>
    </row>
    <row r="559" spans="1:1">
      <c r="A559" s="75"/>
    </row>
    <row r="560" spans="1:1">
      <c r="A560" s="75"/>
    </row>
    <row r="561" spans="1:1">
      <c r="A561" s="75"/>
    </row>
    <row r="562" spans="1:1">
      <c r="A562" s="75"/>
    </row>
    <row r="563" spans="1:1">
      <c r="A563" s="75"/>
    </row>
    <row r="564" spans="1:1">
      <c r="A564" s="75"/>
    </row>
    <row r="565" spans="1:1">
      <c r="A565" s="75"/>
    </row>
    <row r="566" spans="1:1">
      <c r="A566" s="75"/>
    </row>
    <row r="567" spans="1:1">
      <c r="A567" s="75"/>
    </row>
    <row r="568" spans="1:1">
      <c r="A568" s="75"/>
    </row>
    <row r="569" spans="1:1">
      <c r="A569" s="75"/>
    </row>
    <row r="570" spans="1:1">
      <c r="A570" s="75"/>
    </row>
    <row r="571" spans="1:1">
      <c r="A571" s="75"/>
    </row>
    <row r="572" spans="1:1">
      <c r="A572" s="75"/>
    </row>
    <row r="573" spans="1:1">
      <c r="A573" s="75"/>
    </row>
    <row r="574" spans="1:1">
      <c r="A574" s="75"/>
    </row>
    <row r="575" spans="1:1">
      <c r="A575" s="75"/>
    </row>
    <row r="576" spans="1:1">
      <c r="A576" s="75"/>
    </row>
    <row r="577" spans="1:1">
      <c r="A577" s="75"/>
    </row>
    <row r="578" spans="1:1">
      <c r="A578" s="75"/>
    </row>
    <row r="579" spans="1:1">
      <c r="A579" s="75"/>
    </row>
    <row r="580" spans="1:1">
      <c r="A580" s="75"/>
    </row>
    <row r="581" spans="1:1">
      <c r="A581" s="75"/>
    </row>
    <row r="582" spans="1:1">
      <c r="A582" s="75"/>
    </row>
    <row r="583" spans="1:1">
      <c r="A583" s="75"/>
    </row>
    <row r="584" spans="1:1">
      <c r="A584" s="75"/>
    </row>
    <row r="585" spans="1:1">
      <c r="A585" s="75"/>
    </row>
    <row r="586" spans="1:1">
      <c r="A586" s="75"/>
    </row>
    <row r="587" spans="1:1">
      <c r="A587" s="75"/>
    </row>
    <row r="588" spans="1:1">
      <c r="A588" s="75"/>
    </row>
    <row r="589" spans="1:1">
      <c r="A589" s="75"/>
    </row>
    <row r="590" spans="1:1">
      <c r="A590" s="75"/>
    </row>
    <row r="591" spans="1:1">
      <c r="A591" s="75"/>
    </row>
    <row r="592" spans="1:1">
      <c r="A592" s="75"/>
    </row>
    <row r="593" spans="1:1">
      <c r="A593" s="75"/>
    </row>
    <row r="594" spans="1:1">
      <c r="A594" s="75"/>
    </row>
    <row r="595" spans="1:1">
      <c r="A595" s="75"/>
    </row>
    <row r="596" spans="1:1">
      <c r="A596" s="75"/>
    </row>
    <row r="597" spans="1:1">
      <c r="A597" s="75"/>
    </row>
    <row r="598" spans="1:1">
      <c r="A598" s="75"/>
    </row>
    <row r="599" spans="1:1">
      <c r="A599" s="75"/>
    </row>
    <row r="600" spans="1:1">
      <c r="A600" s="75"/>
    </row>
    <row r="601" spans="1:1">
      <c r="A601" s="75"/>
    </row>
    <row r="602" spans="1:1">
      <c r="A602" s="75"/>
    </row>
    <row r="603" spans="1:1">
      <c r="A603" s="75"/>
    </row>
    <row r="604" spans="1:1">
      <c r="A604" s="75"/>
    </row>
    <row r="605" spans="1:1">
      <c r="A605" s="75"/>
    </row>
    <row r="606" spans="1:1">
      <c r="A606" s="75"/>
    </row>
    <row r="607" spans="1:1">
      <c r="A607" s="75"/>
    </row>
    <row r="608" spans="1:1">
      <c r="A608" s="75"/>
    </row>
    <row r="609" spans="1:1">
      <c r="A609" s="75"/>
    </row>
    <row r="610" spans="1:1">
      <c r="A610" s="75"/>
    </row>
    <row r="611" spans="1:1">
      <c r="A611" s="75"/>
    </row>
    <row r="612" spans="1:1">
      <c r="A612" s="75"/>
    </row>
    <row r="613" spans="1:1">
      <c r="A613" s="75"/>
    </row>
    <row r="614" spans="1:1">
      <c r="A614" s="75"/>
    </row>
    <row r="615" spans="1:1">
      <c r="A615" s="75"/>
    </row>
    <row r="616" spans="1:1">
      <c r="A616" s="75"/>
    </row>
    <row r="617" spans="1:1">
      <c r="A617" s="75"/>
    </row>
    <row r="618" spans="1:1">
      <c r="A618" s="7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7A65-0892-4A69-8453-9A46829E726C}">
  <dimension ref="A1:P39"/>
  <sheetViews>
    <sheetView topLeftCell="A18" workbookViewId="0">
      <selection activeCell="O12" sqref="O12"/>
    </sheetView>
  </sheetViews>
  <sheetFormatPr defaultRowHeight="14.4"/>
  <cols>
    <col min="1" max="2" width="11.6640625" customWidth="1"/>
    <col min="3" max="3" width="14.88671875" customWidth="1"/>
    <col min="4" max="4" width="13.6640625" customWidth="1"/>
    <col min="5" max="5" width="18.6640625" customWidth="1"/>
    <col min="6" max="6" width="15.33203125" customWidth="1"/>
    <col min="7" max="7" width="12.109375" customWidth="1"/>
    <col min="8" max="8" width="22.109375" customWidth="1"/>
    <col min="9" max="9" width="12.6640625" customWidth="1"/>
    <col min="10" max="10" width="10.44140625" customWidth="1"/>
    <col min="11" max="11" width="9.6640625" customWidth="1"/>
    <col min="12" max="12" width="10.33203125" customWidth="1"/>
    <col min="13" max="13" width="11.44140625" customWidth="1"/>
    <col min="14" max="14" width="10.109375" customWidth="1"/>
    <col min="15" max="15" width="13" customWidth="1"/>
    <col min="16" max="17" width="27.44140625" customWidth="1"/>
  </cols>
  <sheetData>
    <row r="1" spans="1:16">
      <c r="A1" s="112" t="s">
        <v>0</v>
      </c>
      <c r="B1" s="109" t="s">
        <v>1</v>
      </c>
      <c r="C1" s="113" t="s">
        <v>2</v>
      </c>
      <c r="D1" s="109" t="s">
        <v>3</v>
      </c>
      <c r="E1" s="109" t="s">
        <v>4</v>
      </c>
      <c r="F1" s="109" t="s">
        <v>5</v>
      </c>
      <c r="G1" s="109" t="s">
        <v>47</v>
      </c>
      <c r="H1" s="109" t="s">
        <v>6</v>
      </c>
      <c r="I1" s="109" t="s">
        <v>7</v>
      </c>
      <c r="J1" s="109" t="s">
        <v>8</v>
      </c>
      <c r="K1" s="114" t="s">
        <v>9</v>
      </c>
      <c r="L1" s="114" t="s">
        <v>10</v>
      </c>
      <c r="M1" s="109" t="s">
        <v>11</v>
      </c>
      <c r="N1" s="109" t="s">
        <v>48</v>
      </c>
      <c r="O1" s="109" t="s">
        <v>12</v>
      </c>
      <c r="P1" s="110" t="s">
        <v>13</v>
      </c>
    </row>
    <row r="2" spans="1:16">
      <c r="A2" s="111" t="s">
        <v>267</v>
      </c>
      <c r="B2" s="105" t="s">
        <v>15</v>
      </c>
      <c r="C2" s="115">
        <v>45717</v>
      </c>
      <c r="D2" s="105"/>
      <c r="E2" s="127" t="s">
        <v>268</v>
      </c>
      <c r="F2" s="117">
        <v>215.25</v>
      </c>
      <c r="G2" s="117" t="s">
        <v>21</v>
      </c>
      <c r="H2" s="93" t="s">
        <v>51</v>
      </c>
      <c r="I2" s="107" t="s">
        <v>52</v>
      </c>
      <c r="J2" s="118"/>
      <c r="K2" s="119"/>
      <c r="L2" s="120"/>
      <c r="M2" s="105"/>
      <c r="N2" s="107" t="s">
        <v>53</v>
      </c>
      <c r="O2" s="8">
        <v>13345844</v>
      </c>
      <c r="P2" s="106"/>
    </row>
    <row r="3" spans="1:16" ht="15" thickBot="1">
      <c r="A3" s="111" t="s">
        <v>267</v>
      </c>
      <c r="B3" s="105" t="s">
        <v>15</v>
      </c>
      <c r="C3" s="115">
        <v>45718</v>
      </c>
      <c r="D3" s="116"/>
      <c r="E3" s="126" t="s">
        <v>269</v>
      </c>
      <c r="F3" s="117">
        <v>53.024999999999999</v>
      </c>
      <c r="G3" s="117" t="s">
        <v>21</v>
      </c>
      <c r="H3" s="93" t="s">
        <v>51</v>
      </c>
      <c r="I3" s="105" t="s">
        <v>52</v>
      </c>
      <c r="J3" s="118"/>
      <c r="K3" s="119"/>
      <c r="L3" s="120"/>
      <c r="M3" s="105"/>
      <c r="N3" s="105" t="s">
        <v>53</v>
      </c>
      <c r="O3" s="8">
        <v>13304134</v>
      </c>
      <c r="P3" s="106"/>
    </row>
    <row r="4" spans="1:16" ht="15" thickBot="1">
      <c r="A4" s="111" t="s">
        <v>267</v>
      </c>
      <c r="B4" s="107" t="s">
        <v>15</v>
      </c>
      <c r="C4" s="115">
        <v>45722</v>
      </c>
      <c r="D4" s="107"/>
      <c r="E4" s="134" t="s">
        <v>270</v>
      </c>
      <c r="F4" s="121">
        <v>304</v>
      </c>
      <c r="G4" s="121" t="s">
        <v>60</v>
      </c>
      <c r="H4" s="122" t="s">
        <v>271</v>
      </c>
      <c r="I4" s="107" t="s">
        <v>52</v>
      </c>
      <c r="J4" s="123"/>
      <c r="K4" s="124"/>
      <c r="L4" s="125"/>
      <c r="M4" s="105" t="s">
        <v>26</v>
      </c>
      <c r="N4" s="107" t="s">
        <v>53</v>
      </c>
      <c r="O4" s="8">
        <v>13336742</v>
      </c>
      <c r="P4" s="108" t="s">
        <v>272</v>
      </c>
    </row>
    <row r="5" spans="1:16" ht="15" thickBot="1">
      <c r="A5" s="111" t="s">
        <v>267</v>
      </c>
      <c r="B5" s="105" t="s">
        <v>15</v>
      </c>
      <c r="C5" s="115">
        <v>45726</v>
      </c>
      <c r="D5" s="105"/>
      <c r="E5" s="153" t="s">
        <v>273</v>
      </c>
      <c r="F5" s="117">
        <v>49</v>
      </c>
      <c r="G5" s="117" t="s">
        <v>60</v>
      </c>
      <c r="H5" s="93" t="s">
        <v>51</v>
      </c>
      <c r="I5" s="107" t="s">
        <v>52</v>
      </c>
      <c r="J5" s="118"/>
      <c r="K5" s="119"/>
      <c r="L5" s="120"/>
      <c r="M5" s="105" t="s">
        <v>26</v>
      </c>
      <c r="N5" s="107" t="s">
        <v>53</v>
      </c>
      <c r="O5" s="8">
        <v>13356157</v>
      </c>
      <c r="P5" s="106"/>
    </row>
    <row r="6" spans="1:16" ht="15" thickBot="1">
      <c r="A6" s="111" t="s">
        <v>267</v>
      </c>
      <c r="B6" s="107" t="s">
        <v>15</v>
      </c>
      <c r="C6" s="115">
        <v>45727</v>
      </c>
      <c r="D6" s="107"/>
      <c r="E6" s="128" t="s">
        <v>67</v>
      </c>
      <c r="F6" s="121">
        <v>62</v>
      </c>
      <c r="G6" s="107" t="s">
        <v>17</v>
      </c>
      <c r="H6" s="93" t="s">
        <v>51</v>
      </c>
      <c r="I6" s="107" t="s">
        <v>101</v>
      </c>
      <c r="J6" s="123"/>
      <c r="K6" s="124"/>
      <c r="L6" s="125"/>
      <c r="M6" s="105" t="s">
        <v>26</v>
      </c>
      <c r="N6" s="107" t="s">
        <v>53</v>
      </c>
      <c r="O6" s="137">
        <v>13363157</v>
      </c>
      <c r="P6" s="108"/>
    </row>
    <row r="7" spans="1:16" ht="15" thickBot="1">
      <c r="A7" s="111" t="s">
        <v>267</v>
      </c>
      <c r="B7" s="107" t="s">
        <v>15</v>
      </c>
      <c r="C7" s="115">
        <v>45728</v>
      </c>
      <c r="D7" s="107"/>
      <c r="E7" s="128" t="s">
        <v>76</v>
      </c>
      <c r="F7" s="121">
        <v>3810.45</v>
      </c>
      <c r="G7" s="121" t="s">
        <v>60</v>
      </c>
      <c r="H7" s="122" t="s">
        <v>77</v>
      </c>
      <c r="I7" s="107" t="s">
        <v>52</v>
      </c>
      <c r="J7" s="123"/>
      <c r="K7" s="124"/>
      <c r="L7" s="125"/>
      <c r="M7" s="107"/>
      <c r="N7" s="107" t="s">
        <v>53</v>
      </c>
      <c r="O7" s="8">
        <v>13379981</v>
      </c>
      <c r="P7" s="108"/>
    </row>
    <row r="8" spans="1:16" ht="15" thickBot="1">
      <c r="A8" s="111" t="s">
        <v>267</v>
      </c>
      <c r="B8" s="105" t="s">
        <v>15</v>
      </c>
      <c r="C8" s="115">
        <v>45728</v>
      </c>
      <c r="D8" s="105"/>
      <c r="E8" s="129" t="s">
        <v>274</v>
      </c>
      <c r="F8" s="117">
        <v>1580.25</v>
      </c>
      <c r="G8" s="121" t="s">
        <v>60</v>
      </c>
      <c r="H8" s="122" t="s">
        <v>77</v>
      </c>
      <c r="I8" s="107" t="s">
        <v>52</v>
      </c>
      <c r="J8" s="118"/>
      <c r="K8" s="119"/>
      <c r="L8" s="120"/>
      <c r="M8" s="105" t="s">
        <v>26</v>
      </c>
      <c r="N8" s="107" t="s">
        <v>53</v>
      </c>
      <c r="O8" s="8">
        <v>13465045</v>
      </c>
      <c r="P8" s="106"/>
    </row>
    <row r="9" spans="1:16" ht="15" thickBot="1">
      <c r="A9" s="111" t="s">
        <v>267</v>
      </c>
      <c r="B9" s="107" t="s">
        <v>15</v>
      </c>
      <c r="C9" s="115">
        <v>45728</v>
      </c>
      <c r="D9" s="107"/>
      <c r="E9" s="127" t="s">
        <v>275</v>
      </c>
      <c r="F9" s="121">
        <v>1040.325</v>
      </c>
      <c r="G9" s="121" t="s">
        <v>60</v>
      </c>
      <c r="H9" s="122" t="s">
        <v>77</v>
      </c>
      <c r="I9" s="107" t="s">
        <v>52</v>
      </c>
      <c r="J9" s="123"/>
      <c r="K9" s="124"/>
      <c r="L9" s="125"/>
      <c r="M9" s="105" t="s">
        <v>26</v>
      </c>
      <c r="N9" s="107" t="s">
        <v>53</v>
      </c>
      <c r="O9" s="8">
        <v>13451068</v>
      </c>
      <c r="P9" s="108"/>
    </row>
    <row r="10" spans="1:16" ht="15" thickBot="1">
      <c r="A10" s="111" t="s">
        <v>267</v>
      </c>
      <c r="B10" s="105" t="s">
        <v>15</v>
      </c>
      <c r="C10" s="115">
        <v>45728</v>
      </c>
      <c r="D10" s="105"/>
      <c r="E10" s="130" t="s">
        <v>16</v>
      </c>
      <c r="F10" s="117">
        <v>12.46</v>
      </c>
      <c r="G10" s="107" t="s">
        <v>17</v>
      </c>
      <c r="H10" s="93" t="s">
        <v>51</v>
      </c>
      <c r="I10" s="105" t="s">
        <v>276</v>
      </c>
      <c r="J10" s="118"/>
      <c r="K10" s="119"/>
      <c r="L10" s="120"/>
      <c r="M10" s="105"/>
      <c r="N10" s="107" t="s">
        <v>53</v>
      </c>
      <c r="O10" s="8">
        <v>13388875</v>
      </c>
      <c r="P10" s="106"/>
    </row>
    <row r="11" spans="1:16" ht="15" thickBot="1">
      <c r="A11" s="111" t="s">
        <v>267</v>
      </c>
      <c r="B11" s="105" t="s">
        <v>15</v>
      </c>
      <c r="C11" s="115">
        <v>45732</v>
      </c>
      <c r="D11" s="107"/>
      <c r="E11" s="131" t="s">
        <v>109</v>
      </c>
      <c r="F11" s="117">
        <v>24</v>
      </c>
      <c r="G11" s="107" t="s">
        <v>17</v>
      </c>
      <c r="H11" s="93" t="s">
        <v>51</v>
      </c>
      <c r="I11" s="107" t="s">
        <v>110</v>
      </c>
      <c r="J11" s="124"/>
      <c r="K11" s="125"/>
      <c r="L11" s="107"/>
      <c r="M11" s="105" t="s">
        <v>26</v>
      </c>
      <c r="N11" s="107" t="s">
        <v>53</v>
      </c>
      <c r="O11" s="8">
        <v>13419405</v>
      </c>
      <c r="P11" s="107"/>
    </row>
    <row r="12" spans="1:16" ht="15" thickBot="1">
      <c r="A12" s="111" t="s">
        <v>267</v>
      </c>
      <c r="B12" s="105" t="s">
        <v>15</v>
      </c>
      <c r="C12" s="115">
        <v>45733</v>
      </c>
      <c r="D12" s="105"/>
      <c r="E12" s="159" t="s">
        <v>277</v>
      </c>
      <c r="F12" s="117">
        <v>269.85000000000002</v>
      </c>
      <c r="G12" s="117" t="s">
        <v>21</v>
      </c>
      <c r="H12" s="93" t="s">
        <v>51</v>
      </c>
      <c r="I12" s="107" t="s">
        <v>52</v>
      </c>
      <c r="J12" s="119"/>
      <c r="K12" s="120"/>
      <c r="L12" s="105"/>
      <c r="M12" s="105" t="s">
        <v>26</v>
      </c>
      <c r="N12" s="107" t="s">
        <v>53</v>
      </c>
      <c r="O12" s="8">
        <v>13427166</v>
      </c>
      <c r="P12" s="105"/>
    </row>
    <row r="13" spans="1:16" ht="15" thickBot="1">
      <c r="A13" s="111" t="s">
        <v>267</v>
      </c>
      <c r="B13" s="105" t="s">
        <v>15</v>
      </c>
      <c r="C13" s="115">
        <v>45734</v>
      </c>
      <c r="D13" s="107"/>
      <c r="E13" s="141" t="s">
        <v>278</v>
      </c>
      <c r="F13" s="147">
        <v>132.39099999999999</v>
      </c>
      <c r="G13" s="145" t="s">
        <v>17</v>
      </c>
      <c r="H13" s="148" t="s">
        <v>51</v>
      </c>
      <c r="I13" s="149" t="s">
        <v>276</v>
      </c>
      <c r="J13" s="150"/>
      <c r="K13" s="151"/>
      <c r="L13" s="145"/>
      <c r="M13" s="149"/>
      <c r="N13" s="145" t="s">
        <v>53</v>
      </c>
      <c r="O13" s="146">
        <v>13438073</v>
      </c>
      <c r="P13" s="107"/>
    </row>
    <row r="14" spans="1:16" ht="15" thickBot="1">
      <c r="A14" s="111" t="s">
        <v>267</v>
      </c>
      <c r="B14" s="105" t="s">
        <v>15</v>
      </c>
      <c r="C14" s="115">
        <v>45734</v>
      </c>
      <c r="D14" s="105"/>
      <c r="E14" s="152" t="s">
        <v>279</v>
      </c>
      <c r="F14" s="117">
        <v>15.15</v>
      </c>
      <c r="G14" s="107" t="s">
        <v>17</v>
      </c>
      <c r="H14" s="93" t="s">
        <v>51</v>
      </c>
      <c r="I14" s="107" t="s">
        <v>52</v>
      </c>
      <c r="J14" s="119"/>
      <c r="K14" s="120"/>
      <c r="L14" s="105"/>
      <c r="M14" s="105" t="s">
        <v>26</v>
      </c>
      <c r="N14" s="107" t="s">
        <v>53</v>
      </c>
      <c r="O14" s="8">
        <v>13436823</v>
      </c>
      <c r="P14" s="105"/>
    </row>
    <row r="15" spans="1:16" ht="15" thickBot="1">
      <c r="A15" s="111" t="s">
        <v>267</v>
      </c>
      <c r="B15" s="105" t="s">
        <v>15</v>
      </c>
      <c r="C15" s="115">
        <v>45734</v>
      </c>
      <c r="D15" s="107"/>
      <c r="E15" s="152" t="s">
        <v>279</v>
      </c>
      <c r="F15" s="117">
        <v>15.15</v>
      </c>
      <c r="G15" s="107" t="s">
        <v>17</v>
      </c>
      <c r="H15" s="93" t="s">
        <v>51</v>
      </c>
      <c r="I15" s="107" t="s">
        <v>52</v>
      </c>
      <c r="J15" s="124"/>
      <c r="K15" s="125"/>
      <c r="L15" s="107"/>
      <c r="M15" s="105" t="s">
        <v>26</v>
      </c>
      <c r="N15" s="107" t="s">
        <v>53</v>
      </c>
      <c r="O15" s="8">
        <v>13436822</v>
      </c>
      <c r="P15" s="107"/>
    </row>
    <row r="16" spans="1:16" ht="15" thickBot="1">
      <c r="A16" s="111" t="s">
        <v>267</v>
      </c>
      <c r="B16" s="105" t="s">
        <v>15</v>
      </c>
      <c r="C16" s="115">
        <v>45736</v>
      </c>
      <c r="D16" s="105"/>
      <c r="E16" s="152" t="s">
        <v>280</v>
      </c>
      <c r="F16" s="117">
        <v>213.15</v>
      </c>
      <c r="G16" s="107" t="s">
        <v>17</v>
      </c>
      <c r="H16" s="93" t="s">
        <v>51</v>
      </c>
      <c r="I16" s="107" t="s">
        <v>52</v>
      </c>
      <c r="J16" s="119"/>
      <c r="K16" s="120"/>
      <c r="L16" s="105"/>
      <c r="M16" s="105" t="s">
        <v>26</v>
      </c>
      <c r="N16" s="107" t="s">
        <v>53</v>
      </c>
      <c r="O16" s="8">
        <v>13461743</v>
      </c>
      <c r="P16" s="105"/>
    </row>
    <row r="17" spans="1:16" ht="15" thickBot="1">
      <c r="A17" s="111" t="s">
        <v>267</v>
      </c>
      <c r="B17" s="105" t="s">
        <v>15</v>
      </c>
      <c r="C17" s="115">
        <v>45737</v>
      </c>
      <c r="D17" s="107"/>
      <c r="E17" s="123" t="s">
        <v>67</v>
      </c>
      <c r="F17" s="117">
        <v>7</v>
      </c>
      <c r="G17" s="107" t="s">
        <v>17</v>
      </c>
      <c r="H17" s="93" t="s">
        <v>51</v>
      </c>
      <c r="I17" s="123"/>
      <c r="J17" s="124"/>
      <c r="K17" s="125"/>
      <c r="L17" s="107"/>
      <c r="M17" s="105" t="s">
        <v>26</v>
      </c>
      <c r="N17" s="107" t="s">
        <v>53</v>
      </c>
      <c r="O17" s="8">
        <v>13495398</v>
      </c>
      <c r="P17" s="107"/>
    </row>
    <row r="18" spans="1:16" ht="15" thickBot="1">
      <c r="A18" s="111" t="s">
        <v>267</v>
      </c>
      <c r="B18" s="105" t="s">
        <v>15</v>
      </c>
      <c r="C18" s="115">
        <v>45737</v>
      </c>
      <c r="D18" s="105"/>
      <c r="E18" s="123" t="s">
        <v>67</v>
      </c>
      <c r="F18" s="117">
        <v>36</v>
      </c>
      <c r="G18" s="107" t="s">
        <v>17</v>
      </c>
      <c r="H18" s="93" t="s">
        <v>51</v>
      </c>
      <c r="I18" s="107" t="s">
        <v>101</v>
      </c>
      <c r="J18" s="119"/>
      <c r="K18" s="120"/>
      <c r="L18" s="105"/>
      <c r="M18" s="105" t="s">
        <v>26</v>
      </c>
      <c r="N18" s="107" t="s">
        <v>53</v>
      </c>
      <c r="O18" s="137">
        <v>13490352</v>
      </c>
      <c r="P18" s="105"/>
    </row>
    <row r="19" spans="1:16" ht="15" thickBot="1">
      <c r="A19" s="111" t="s">
        <v>267</v>
      </c>
      <c r="B19" s="105" t="s">
        <v>15</v>
      </c>
      <c r="C19" s="115">
        <v>45739</v>
      </c>
      <c r="D19" s="105"/>
      <c r="E19" s="157" t="s">
        <v>281</v>
      </c>
      <c r="F19" s="117">
        <v>1118.25</v>
      </c>
      <c r="G19" s="120" t="s">
        <v>60</v>
      </c>
      <c r="H19" s="122" t="s">
        <v>77</v>
      </c>
      <c r="I19" s="107" t="s">
        <v>101</v>
      </c>
      <c r="J19" s="119"/>
      <c r="K19" s="120"/>
      <c r="L19" s="105"/>
      <c r="M19" s="105" t="s">
        <v>26</v>
      </c>
      <c r="N19" s="107" t="s">
        <v>53</v>
      </c>
      <c r="O19" s="137">
        <v>13543901</v>
      </c>
      <c r="P19" s="105"/>
    </row>
    <row r="20" spans="1:16" ht="15" thickBot="1">
      <c r="A20" s="111" t="s">
        <v>267</v>
      </c>
      <c r="B20" s="105" t="s">
        <v>15</v>
      </c>
      <c r="C20" s="115">
        <v>45739</v>
      </c>
      <c r="D20" s="107"/>
      <c r="E20" s="131" t="s">
        <v>282</v>
      </c>
      <c r="F20" s="117">
        <v>1375.5</v>
      </c>
      <c r="G20" s="120" t="s">
        <v>60</v>
      </c>
      <c r="H20" s="107" t="s">
        <v>283</v>
      </c>
      <c r="I20" s="107" t="s">
        <v>52</v>
      </c>
      <c r="J20" s="124"/>
      <c r="K20" s="125"/>
      <c r="L20" s="107"/>
      <c r="M20" s="105"/>
      <c r="N20" s="107" t="s">
        <v>53</v>
      </c>
      <c r="O20" s="8">
        <v>13544111</v>
      </c>
      <c r="P20" s="107"/>
    </row>
    <row r="21" spans="1:16" ht="15" thickBot="1">
      <c r="A21" s="111" t="s">
        <v>267</v>
      </c>
      <c r="B21" s="105" t="s">
        <v>15</v>
      </c>
      <c r="C21" s="115">
        <v>45740</v>
      </c>
      <c r="D21" s="105"/>
      <c r="E21" s="132" t="s">
        <v>284</v>
      </c>
      <c r="F21" s="117">
        <v>514</v>
      </c>
      <c r="G21" s="120" t="s">
        <v>60</v>
      </c>
      <c r="H21" s="122" t="s">
        <v>77</v>
      </c>
      <c r="I21" s="107" t="s">
        <v>52</v>
      </c>
      <c r="J21" s="119"/>
      <c r="K21" s="120"/>
      <c r="L21" s="105"/>
      <c r="M21" s="118"/>
      <c r="N21" s="107" t="s">
        <v>53</v>
      </c>
      <c r="O21" s="8">
        <v>13525962</v>
      </c>
      <c r="P21" s="105"/>
    </row>
    <row r="22" spans="1:16" ht="15" thickBot="1">
      <c r="A22" s="111"/>
      <c r="B22" s="105"/>
      <c r="C22" s="115">
        <v>45741</v>
      </c>
      <c r="D22" s="105"/>
      <c r="E22" s="132" t="s">
        <v>59</v>
      </c>
      <c r="F22" s="117">
        <v>289.8</v>
      </c>
      <c r="G22" s="120" t="s">
        <v>60</v>
      </c>
      <c r="H22" s="122" t="s">
        <v>77</v>
      </c>
      <c r="I22" s="107" t="s">
        <v>52</v>
      </c>
      <c r="J22" s="119"/>
      <c r="K22" s="120"/>
      <c r="L22" s="105"/>
      <c r="M22" s="105" t="s">
        <v>26</v>
      </c>
      <c r="N22" s="107" t="s">
        <v>53</v>
      </c>
      <c r="O22" s="8" t="s">
        <v>285</v>
      </c>
      <c r="P22" s="105"/>
    </row>
    <row r="23" spans="1:16" ht="15" thickBot="1">
      <c r="A23" s="111" t="s">
        <v>267</v>
      </c>
      <c r="B23" s="105" t="s">
        <v>15</v>
      </c>
      <c r="C23" s="115">
        <v>45741</v>
      </c>
      <c r="D23" s="105"/>
      <c r="E23" s="132" t="s">
        <v>59</v>
      </c>
      <c r="F23" s="117">
        <v>4782.5</v>
      </c>
      <c r="G23" s="120" t="s">
        <v>60</v>
      </c>
      <c r="H23" s="122" t="s">
        <v>77</v>
      </c>
      <c r="I23" s="107" t="s">
        <v>52</v>
      </c>
      <c r="J23" s="119"/>
      <c r="K23" s="120"/>
      <c r="L23" s="105"/>
      <c r="M23" s="105" t="s">
        <v>26</v>
      </c>
      <c r="N23" s="107" t="s">
        <v>53</v>
      </c>
      <c r="O23" s="8">
        <v>13798198</v>
      </c>
      <c r="P23" s="105"/>
    </row>
    <row r="24" spans="1:16" ht="15" thickBot="1">
      <c r="A24" s="111" t="s">
        <v>267</v>
      </c>
      <c r="B24" s="105" t="s">
        <v>15</v>
      </c>
      <c r="C24" s="115">
        <v>45742</v>
      </c>
      <c r="D24" s="107"/>
      <c r="E24" s="158" t="s">
        <v>286</v>
      </c>
      <c r="F24" s="117">
        <v>76.757000000000005</v>
      </c>
      <c r="G24" s="120" t="s">
        <v>60</v>
      </c>
      <c r="H24" s="122" t="s">
        <v>287</v>
      </c>
      <c r="I24" s="107" t="s">
        <v>52</v>
      </c>
      <c r="J24" s="124"/>
      <c r="K24" s="125"/>
      <c r="L24" s="107"/>
      <c r="M24" s="105"/>
      <c r="N24" s="107" t="s">
        <v>53</v>
      </c>
      <c r="O24" s="8">
        <v>13556495</v>
      </c>
      <c r="P24" s="107"/>
    </row>
    <row r="25" spans="1:16" ht="15" thickBot="1">
      <c r="A25" s="111" t="s">
        <v>267</v>
      </c>
      <c r="B25" s="105" t="s">
        <v>15</v>
      </c>
      <c r="C25" s="115">
        <v>45742</v>
      </c>
      <c r="D25" s="107"/>
      <c r="E25" s="154" t="s">
        <v>288</v>
      </c>
      <c r="F25" s="117">
        <v>215.25</v>
      </c>
      <c r="G25" s="125" t="s">
        <v>17</v>
      </c>
      <c r="H25" s="122" t="s">
        <v>287</v>
      </c>
      <c r="I25" s="107" t="s">
        <v>52</v>
      </c>
      <c r="J25" s="124"/>
      <c r="K25" s="125"/>
      <c r="L25" s="107"/>
      <c r="M25" s="105" t="s">
        <v>26</v>
      </c>
      <c r="N25" s="107" t="s">
        <v>53</v>
      </c>
      <c r="O25" s="8">
        <v>13554333</v>
      </c>
      <c r="P25" s="107"/>
    </row>
    <row r="26" spans="1:16" ht="15" thickBot="1">
      <c r="A26" s="111" t="s">
        <v>267</v>
      </c>
      <c r="B26" s="105" t="s">
        <v>15</v>
      </c>
      <c r="C26" s="115">
        <v>45743</v>
      </c>
      <c r="D26" s="107"/>
      <c r="E26" s="123" t="s">
        <v>289</v>
      </c>
      <c r="F26" s="117">
        <v>28.875</v>
      </c>
      <c r="G26" s="125" t="s">
        <v>60</v>
      </c>
      <c r="H26" s="122" t="s">
        <v>77</v>
      </c>
      <c r="I26" s="123" t="s">
        <v>290</v>
      </c>
      <c r="J26" s="124"/>
      <c r="K26" s="125"/>
      <c r="L26" s="107"/>
      <c r="M26" s="105" t="s">
        <v>26</v>
      </c>
      <c r="N26" s="107" t="s">
        <v>53</v>
      </c>
      <c r="O26" s="8">
        <v>13555251</v>
      </c>
      <c r="P26" s="107"/>
    </row>
    <row r="27" spans="1:16" ht="15" thickBot="1">
      <c r="A27" s="111" t="s">
        <v>267</v>
      </c>
      <c r="B27" s="105" t="s">
        <v>15</v>
      </c>
      <c r="C27" s="115">
        <v>45743</v>
      </c>
      <c r="D27" s="107"/>
      <c r="E27" s="123" t="s">
        <v>289</v>
      </c>
      <c r="F27" s="117">
        <v>15.225</v>
      </c>
      <c r="G27" s="125" t="s">
        <v>60</v>
      </c>
      <c r="H27" s="122" t="s">
        <v>77</v>
      </c>
      <c r="I27" s="123" t="s">
        <v>290</v>
      </c>
      <c r="J27" s="124"/>
      <c r="K27" s="125"/>
      <c r="L27" s="107"/>
      <c r="M27" s="105" t="s">
        <v>26</v>
      </c>
      <c r="N27" s="107" t="s">
        <v>53</v>
      </c>
      <c r="O27" s="8">
        <v>13556058</v>
      </c>
      <c r="P27" s="107"/>
    </row>
    <row r="28" spans="1:16" ht="15" thickBot="1">
      <c r="A28" s="111" t="s">
        <v>267</v>
      </c>
      <c r="B28" s="105" t="s">
        <v>15</v>
      </c>
      <c r="C28" s="115">
        <v>45743</v>
      </c>
      <c r="D28" s="107"/>
      <c r="E28" s="123" t="s">
        <v>291</v>
      </c>
      <c r="F28" s="117">
        <v>131.25</v>
      </c>
      <c r="G28" s="125" t="s">
        <v>60</v>
      </c>
      <c r="H28" s="122" t="s">
        <v>77</v>
      </c>
      <c r="I28" s="123" t="s">
        <v>290</v>
      </c>
      <c r="J28" s="124"/>
      <c r="K28" s="125"/>
      <c r="L28" s="107"/>
      <c r="M28" s="105" t="s">
        <v>26</v>
      </c>
      <c r="N28" s="107" t="s">
        <v>53</v>
      </c>
      <c r="O28" s="8">
        <v>13566773</v>
      </c>
      <c r="P28" s="107"/>
    </row>
    <row r="29" spans="1:16" ht="15" thickBot="1">
      <c r="A29" s="111" t="s">
        <v>267</v>
      </c>
      <c r="B29" s="105" t="s">
        <v>15</v>
      </c>
      <c r="C29" s="115">
        <v>45743</v>
      </c>
      <c r="D29" s="107"/>
      <c r="E29" s="135" t="s">
        <v>292</v>
      </c>
      <c r="F29" s="117">
        <v>304</v>
      </c>
      <c r="G29" s="125" t="s">
        <v>60</v>
      </c>
      <c r="H29" s="122" t="s">
        <v>77</v>
      </c>
      <c r="I29" s="107" t="s">
        <v>52</v>
      </c>
      <c r="J29" s="107"/>
      <c r="K29" s="107"/>
      <c r="L29" s="107"/>
      <c r="M29" s="105" t="s">
        <v>26</v>
      </c>
      <c r="N29" s="107" t="s">
        <v>53</v>
      </c>
      <c r="O29" t="s">
        <v>293</v>
      </c>
      <c r="P29" s="107"/>
    </row>
    <row r="30" spans="1:16" ht="15" thickBot="1">
      <c r="A30" s="111" t="s">
        <v>267</v>
      </c>
      <c r="B30" s="105" t="s">
        <v>15</v>
      </c>
      <c r="C30" s="115">
        <v>45745</v>
      </c>
      <c r="E30" s="136" t="s">
        <v>281</v>
      </c>
      <c r="F30" s="133">
        <v>1212.75</v>
      </c>
      <c r="G30" s="7" t="s">
        <v>17</v>
      </c>
      <c r="H30" s="138" t="s">
        <v>51</v>
      </c>
      <c r="I30" s="107" t="s">
        <v>52</v>
      </c>
      <c r="J30" s="10"/>
      <c r="K30" s="7"/>
      <c r="M30" s="105" t="s">
        <v>26</v>
      </c>
      <c r="N30" s="107" t="s">
        <v>53</v>
      </c>
      <c r="O30" s="8">
        <v>13603043</v>
      </c>
    </row>
    <row r="31" spans="1:16" ht="15" thickBot="1">
      <c r="A31" s="111" t="s">
        <v>267</v>
      </c>
      <c r="B31" s="105" t="s">
        <v>15</v>
      </c>
      <c r="C31" s="115">
        <v>45743</v>
      </c>
      <c r="E31" s="140" t="s">
        <v>67</v>
      </c>
      <c r="F31" s="133">
        <v>35</v>
      </c>
      <c r="G31" s="7" t="s">
        <v>17</v>
      </c>
      <c r="H31" s="138" t="s">
        <v>51</v>
      </c>
      <c r="I31" s="107" t="s">
        <v>101</v>
      </c>
      <c r="M31" s="105" t="s">
        <v>26</v>
      </c>
      <c r="N31" s="107" t="s">
        <v>53</v>
      </c>
      <c r="O31" s="139">
        <v>13568435</v>
      </c>
    </row>
    <row r="32" spans="1:16" ht="15" thickBot="1">
      <c r="A32" s="111" t="s">
        <v>267</v>
      </c>
      <c r="B32" s="105" t="s">
        <v>15</v>
      </c>
      <c r="C32" s="115">
        <v>45745</v>
      </c>
      <c r="E32" s="141" t="s">
        <v>278</v>
      </c>
      <c r="F32" s="142">
        <v>101</v>
      </c>
      <c r="G32" s="12" t="s">
        <v>17</v>
      </c>
      <c r="H32" s="143" t="s">
        <v>51</v>
      </c>
      <c r="I32" s="144" t="s">
        <v>276</v>
      </c>
      <c r="J32" s="11"/>
      <c r="K32" s="11"/>
      <c r="L32" s="11"/>
      <c r="M32" s="11"/>
      <c r="N32" s="145" t="s">
        <v>53</v>
      </c>
      <c r="O32" s="146">
        <v>13604425</v>
      </c>
    </row>
    <row r="33" spans="1:16" ht="15" thickBot="1">
      <c r="A33" s="111" t="s">
        <v>267</v>
      </c>
      <c r="B33" s="105" t="s">
        <v>15</v>
      </c>
      <c r="C33" s="115">
        <v>45745</v>
      </c>
      <c r="E33" s="160" t="s">
        <v>67</v>
      </c>
      <c r="F33" s="133">
        <v>95</v>
      </c>
      <c r="G33" s="7" t="s">
        <v>17</v>
      </c>
      <c r="H33" s="138" t="s">
        <v>51</v>
      </c>
      <c r="I33" s="161" t="s">
        <v>101</v>
      </c>
      <c r="M33" s="105" t="s">
        <v>26</v>
      </c>
      <c r="N33" s="161" t="s">
        <v>53</v>
      </c>
      <c r="O33" s="8">
        <v>13602182</v>
      </c>
    </row>
    <row r="34" spans="1:16" ht="15" thickBot="1">
      <c r="A34" s="111" t="s">
        <v>267</v>
      </c>
      <c r="B34" s="105" t="s">
        <v>15</v>
      </c>
      <c r="C34" s="115">
        <v>45745</v>
      </c>
      <c r="D34" s="162"/>
      <c r="E34" s="163" t="s">
        <v>16</v>
      </c>
      <c r="F34" s="164">
        <v>5.0999999999999996</v>
      </c>
      <c r="G34" s="165" t="s">
        <v>17</v>
      </c>
      <c r="H34" s="166" t="s">
        <v>51</v>
      </c>
      <c r="I34" s="167" t="s">
        <v>276</v>
      </c>
      <c r="J34" s="162"/>
      <c r="K34" s="162"/>
      <c r="L34" s="162"/>
      <c r="M34" s="162"/>
      <c r="N34" s="162" t="s">
        <v>53</v>
      </c>
      <c r="O34" s="168">
        <v>13601975</v>
      </c>
      <c r="P34" s="162"/>
    </row>
    <row r="35" spans="1:16" ht="15" thickBot="1">
      <c r="A35" s="111" t="s">
        <v>267</v>
      </c>
      <c r="B35" s="105" t="s">
        <v>15</v>
      </c>
      <c r="C35" s="115">
        <v>45746</v>
      </c>
      <c r="D35" s="162"/>
      <c r="E35" s="169" t="s">
        <v>288</v>
      </c>
      <c r="F35" s="164">
        <v>23</v>
      </c>
      <c r="G35" s="165" t="s">
        <v>17</v>
      </c>
      <c r="H35" s="166" t="s">
        <v>51</v>
      </c>
      <c r="I35" s="162" t="s">
        <v>52</v>
      </c>
      <c r="J35" s="162"/>
      <c r="K35" s="162"/>
      <c r="L35" s="162"/>
      <c r="M35" s="105" t="s">
        <v>26</v>
      </c>
      <c r="N35" s="162" t="s">
        <v>53</v>
      </c>
      <c r="O35" s="168">
        <v>13630542</v>
      </c>
      <c r="P35" s="162"/>
    </row>
    <row r="36" spans="1:16" ht="15" thickBot="1">
      <c r="A36" s="111" t="s">
        <v>267</v>
      </c>
      <c r="B36" s="105" t="s">
        <v>15</v>
      </c>
      <c r="C36" s="115">
        <v>45746</v>
      </c>
      <c r="D36" s="162"/>
      <c r="E36" s="170" t="s">
        <v>67</v>
      </c>
      <c r="F36" s="164">
        <v>17</v>
      </c>
      <c r="G36" s="165" t="s">
        <v>17</v>
      </c>
      <c r="H36" s="166" t="s">
        <v>51</v>
      </c>
      <c r="I36" s="162" t="s">
        <v>101</v>
      </c>
      <c r="J36" s="162"/>
      <c r="K36" s="162"/>
      <c r="L36" s="162"/>
      <c r="M36" s="105" t="s">
        <v>26</v>
      </c>
      <c r="N36" s="162" t="s">
        <v>53</v>
      </c>
      <c r="O36" s="168">
        <v>13504696</v>
      </c>
      <c r="P36" s="162"/>
    </row>
    <row r="37" spans="1:16" ht="15" thickBot="1">
      <c r="A37" s="111" t="s">
        <v>267</v>
      </c>
      <c r="B37" s="105" t="s">
        <v>15</v>
      </c>
      <c r="C37" s="115">
        <v>45744</v>
      </c>
      <c r="D37" s="162"/>
      <c r="E37" s="171" t="s">
        <v>59</v>
      </c>
      <c r="F37" s="164">
        <v>61.575000000000003</v>
      </c>
      <c r="G37" s="172" t="s">
        <v>60</v>
      </c>
      <c r="H37" s="173" t="s">
        <v>287</v>
      </c>
      <c r="I37" s="162" t="s">
        <v>52</v>
      </c>
      <c r="J37" s="162"/>
      <c r="K37" s="162"/>
      <c r="L37" s="162"/>
      <c r="M37" s="105" t="s">
        <v>26</v>
      </c>
      <c r="N37" s="162" t="s">
        <v>53</v>
      </c>
      <c r="O37" s="168">
        <v>13586104</v>
      </c>
      <c r="P37" s="162" t="s">
        <v>294</v>
      </c>
    </row>
    <row r="38" spans="1:16" ht="15" thickBot="1">
      <c r="A38" s="111" t="s">
        <v>267</v>
      </c>
      <c r="B38" s="105" t="s">
        <v>15</v>
      </c>
      <c r="C38" s="115">
        <v>45746</v>
      </c>
      <c r="D38" s="162"/>
      <c r="E38" s="174" t="s">
        <v>278</v>
      </c>
      <c r="F38" s="175">
        <v>62.23</v>
      </c>
      <c r="G38" s="176" t="s">
        <v>17</v>
      </c>
      <c r="H38" s="177" t="s">
        <v>51</v>
      </c>
      <c r="I38" s="178" t="s">
        <v>276</v>
      </c>
      <c r="J38" s="179"/>
      <c r="K38" s="179"/>
      <c r="L38" s="179"/>
      <c r="M38" s="179"/>
      <c r="N38" s="179" t="s">
        <v>53</v>
      </c>
      <c r="O38" s="180">
        <v>13632529</v>
      </c>
      <c r="P38" s="179" t="s">
        <v>294</v>
      </c>
    </row>
    <row r="39" spans="1:16" ht="22.2" customHeight="1" thickTop="1">
      <c r="A39" s="181" t="s">
        <v>82</v>
      </c>
      <c r="B39" s="182"/>
      <c r="C39" s="183"/>
      <c r="D39" s="182"/>
      <c r="E39" s="182"/>
      <c r="F39" s="184">
        <f>SUM(F2:F38)</f>
        <v>18303.512999999995</v>
      </c>
      <c r="G39" s="184"/>
      <c r="H39" s="184"/>
      <c r="I39" s="182"/>
      <c r="J39" s="184"/>
      <c r="K39" s="185"/>
      <c r="L39" s="184"/>
      <c r="M39" s="182"/>
      <c r="N39" s="182"/>
      <c r="O39" s="182"/>
      <c r="P39" s="186"/>
    </row>
  </sheetData>
  <autoFilter ref="A1:P39" xr:uid="{CC8B7A65-0892-4A69-8453-9A46829E726C}"/>
  <sortState xmlns:xlrd2="http://schemas.microsoft.com/office/spreadsheetml/2017/richdata2" ref="A2:P30">
    <sortCondition ref="C1:C30"/>
  </sortState>
  <hyperlinks>
    <hyperlink ref="O3" r:id="rId1" display="https://hub.floward.io/order/13304134" xr:uid="{776A737A-852A-4F0F-9A60-D67FBBAC5298}"/>
    <hyperlink ref="O4" r:id="rId2" display="https://hub.floward.io/order/13336742" xr:uid="{A73481F3-2C3B-4872-AC59-8404DFC03014}"/>
    <hyperlink ref="O2" r:id="rId3" display="https://hub.floward.io/order/13345844" xr:uid="{598DD2AD-1286-4272-81B7-F7E5E5B8FB96}"/>
    <hyperlink ref="O5" r:id="rId4" display="https://hub.floward.io/order/13356157" xr:uid="{FB7F3611-7647-41CC-9E5B-5CA1859C0F44}"/>
    <hyperlink ref="O6" r:id="rId5" display="https://hub.floward.io/order/13363157" xr:uid="{C38968A4-4FE4-4CBB-A55F-492B1DBECC70}"/>
    <hyperlink ref="O10" r:id="rId6" display="https://hub.floward.io/order/13388875" xr:uid="{E6ECDD6D-6C65-4EB5-B468-D2752BB86932}"/>
    <hyperlink ref="O7" r:id="rId7" display="https://hub.floward.io/order/13379981" xr:uid="{E2149A08-46EB-480B-80CF-64B0F6E2EEF9}"/>
    <hyperlink ref="O11" r:id="rId8" display="https://hub.floward.io/order/13419405" xr:uid="{5502F7B8-B1A8-4CB9-AF92-8C1E583F7D97}"/>
    <hyperlink ref="O9" r:id="rId9" display="https://hub.floward.io/order/13451068" xr:uid="{9655A71A-C56A-49F8-B47F-2A513E26336F}"/>
    <hyperlink ref="O13" r:id="rId10" display="https://hub.floward.io/order/13438073" xr:uid="{D32C6FE5-DB6A-4979-95AA-25A586505304}"/>
    <hyperlink ref="O14" r:id="rId11" display="https://hub.floward.io/order/13436823" xr:uid="{46FDBAD6-501A-49BC-BC45-5FBCB8266446}"/>
    <hyperlink ref="O15" r:id="rId12" display="https://hub.floward.io/order/13436822" xr:uid="{3E45360C-E87B-45E5-9F18-5FB7E5C32DE4}"/>
    <hyperlink ref="O16" r:id="rId13" display="https://hub.floward.io/order/13461743" xr:uid="{1339216D-A9EB-4D22-B99D-4C9C6608553C}"/>
    <hyperlink ref="O17" r:id="rId14" display="https://hub.floward.io/order/13495398" xr:uid="{9201A1F1-F49E-4594-8A9A-7FDC6D13D178}"/>
    <hyperlink ref="O18" r:id="rId15" display="https://hub.floward.io/order/13490352" xr:uid="{DBEEDFA9-D75A-47C7-8C51-2BD19101F535}"/>
    <hyperlink ref="O19" r:id="rId16" display="https://hub.floward.io/order/13543901" xr:uid="{EB8D9241-9541-4597-9FD3-399E690EA09D}"/>
    <hyperlink ref="O20" r:id="rId17" display="https://hub.floward.io/order/13544111" xr:uid="{CA9F5397-BBD0-4717-A76E-A13A609BB5EA}"/>
    <hyperlink ref="O21" r:id="rId18" display="https://hub.floward.io/order/13525962" xr:uid="{730F0059-04C4-4C49-BF7A-48DE6BA5BFF4}"/>
    <hyperlink ref="O24" r:id="rId19" display="https://hub.floward.io/order/13556495" xr:uid="{88360447-D047-40A6-907E-80B99CAEDF84}"/>
    <hyperlink ref="O25" r:id="rId20" display="https://hub.floward.io/order/13554333" xr:uid="{62430C6F-B1A6-4942-B9A5-4A6E79A5151C}"/>
    <hyperlink ref="O26" r:id="rId21" display="https://hub.floward.io/order/13555251" xr:uid="{EA6C835E-3EA4-4ED8-A3B4-C68286840370}"/>
    <hyperlink ref="O27" r:id="rId22" display="https://hub.floward.io/order/13556058" xr:uid="{F7056CE9-4895-4D53-8DC6-D41C02E56E02}"/>
    <hyperlink ref="O28" r:id="rId23" display="https://hub.floward.io/order/13566773" xr:uid="{EF5089BD-D36F-409D-A206-27C2C76B886B}"/>
    <hyperlink ref="O8" r:id="rId24" display="https://hub.floward.io/order/13465045" xr:uid="{CE464D33-4B1D-451E-9CD7-6C0C3DD8C95D}"/>
    <hyperlink ref="O30" r:id="rId25" display="https://hub.floward.io/order/13695328" xr:uid="{BF2CE54C-D9A5-4C7C-B1CD-BF73760FAACA}"/>
    <hyperlink ref="O32" r:id="rId26" display="https://hub.floward.io/order/13604425" xr:uid="{AF1AAFBD-16D6-4F44-9ACE-072BE1A7804A}"/>
    <hyperlink ref="O33" r:id="rId27" display="https://hub.floward.io/order/13602182" xr:uid="{22D02372-F778-4E85-A9F9-C4AD7D391172}"/>
    <hyperlink ref="O34" r:id="rId28" display="https://hub.floward.io/order/13601975" xr:uid="{8F6DAAAA-2AC5-4E1B-9E81-F4C7397A303C}"/>
    <hyperlink ref="O35" r:id="rId29" display="https://hub.floward.io/order/13630542" xr:uid="{B32EBE62-DCE1-47BE-9128-A5E829465A71}"/>
    <hyperlink ref="O36" r:id="rId30" display="https://hub.floward.io/order/13504696" xr:uid="{2405BD76-3B81-4B35-8A88-C018217AD396}"/>
    <hyperlink ref="O37" r:id="rId31" display="https://hub.floward.io/order/13586104" xr:uid="{096CC1AA-9706-49F5-886B-6A175A4618FA}"/>
    <hyperlink ref="O38" r:id="rId32" display="https://hub.floward.io/order/13632529" xr:uid="{A942AC9F-F3A4-4F57-AB6E-CC04D383C624}"/>
    <hyperlink ref="O12" r:id="rId33" display="https://hub.floward.io/order/13427166" xr:uid="{54F33A68-584F-419C-B2CA-13CFE6FF9F42}"/>
    <hyperlink ref="O23" r:id="rId34" display="https://hub.floward.io/order/13798198" xr:uid="{65CBC28D-BF5D-4E1B-9D04-226D3274E4B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9CE6-0686-4A57-9A35-5D2F076422E4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F547-C780-44CF-B232-3F0CB14E5C5F}">
  <dimension ref="A1:P38"/>
  <sheetViews>
    <sheetView topLeftCell="C13" workbookViewId="0">
      <selection activeCell="O32" sqref="O32"/>
    </sheetView>
  </sheetViews>
  <sheetFormatPr defaultRowHeight="14.4"/>
  <cols>
    <col min="1" max="1" width="9.6640625" customWidth="1"/>
    <col min="2" max="2" width="11" customWidth="1"/>
    <col min="3" max="3" width="16.6640625" customWidth="1"/>
    <col min="4" max="4" width="10.33203125" customWidth="1"/>
    <col min="5" max="5" width="28.109375" customWidth="1"/>
    <col min="6" max="6" width="14.44140625" customWidth="1"/>
    <col min="7" max="7" width="11" customWidth="1"/>
    <col min="8" max="8" width="14.6640625" customWidth="1"/>
    <col min="9" max="9" width="13.44140625" customWidth="1"/>
    <col min="10" max="10" width="11" customWidth="1"/>
    <col min="11" max="11" width="7.88671875" customWidth="1"/>
    <col min="12" max="12" width="7.6640625" customWidth="1"/>
    <col min="13" max="13" width="14" customWidth="1"/>
    <col min="14" max="14" width="16.5546875" customWidth="1"/>
    <col min="15" max="15" width="14.88671875" customWidth="1"/>
    <col min="16" max="16" width="22.33203125" customWidth="1"/>
  </cols>
  <sheetData>
    <row r="1" spans="1:16">
      <c r="A1" s="112" t="s">
        <v>0</v>
      </c>
      <c r="B1" s="109" t="s">
        <v>1</v>
      </c>
      <c r="C1" s="113" t="s">
        <v>2</v>
      </c>
      <c r="D1" s="109" t="s">
        <v>3</v>
      </c>
      <c r="E1" s="109" t="s">
        <v>4</v>
      </c>
      <c r="F1" s="109" t="s">
        <v>5</v>
      </c>
      <c r="G1" s="109" t="s">
        <v>47</v>
      </c>
      <c r="H1" s="109" t="s">
        <v>6</v>
      </c>
      <c r="I1" s="109" t="s">
        <v>7</v>
      </c>
      <c r="J1" s="109" t="s">
        <v>8</v>
      </c>
      <c r="K1" s="114" t="s">
        <v>9</v>
      </c>
      <c r="L1" s="114" t="s">
        <v>10</v>
      </c>
      <c r="M1" s="109" t="s">
        <v>11</v>
      </c>
      <c r="N1" s="109" t="s">
        <v>48</v>
      </c>
      <c r="O1" s="109" t="s">
        <v>12</v>
      </c>
      <c r="P1" s="110" t="s">
        <v>13</v>
      </c>
    </row>
    <row r="2" spans="1:16">
      <c r="A2" s="111" t="s">
        <v>295</v>
      </c>
      <c r="B2" s="105" t="s">
        <v>15</v>
      </c>
      <c r="C2" s="115">
        <v>45812</v>
      </c>
      <c r="D2" s="105"/>
      <c r="E2" s="127" t="s">
        <v>296</v>
      </c>
      <c r="F2" s="117">
        <v>36</v>
      </c>
      <c r="G2" s="117" t="s">
        <v>101</v>
      </c>
      <c r="H2" s="93" t="s">
        <v>51</v>
      </c>
      <c r="I2" s="107" t="s">
        <v>101</v>
      </c>
      <c r="J2" s="118"/>
      <c r="K2" s="119"/>
      <c r="L2" s="120"/>
      <c r="M2" s="105" t="s">
        <v>26</v>
      </c>
      <c r="N2" s="107" t="s">
        <v>53</v>
      </c>
      <c r="O2" s="8">
        <v>13696374</v>
      </c>
      <c r="P2" s="106"/>
    </row>
    <row r="3" spans="1:16">
      <c r="A3" s="111" t="s">
        <v>295</v>
      </c>
      <c r="B3" s="105" t="s">
        <v>15</v>
      </c>
      <c r="C3" s="115">
        <v>45812</v>
      </c>
      <c r="D3" s="116"/>
      <c r="E3" s="126" t="s">
        <v>297</v>
      </c>
      <c r="F3" s="117">
        <v>5.09</v>
      </c>
      <c r="G3" s="117" t="s">
        <v>298</v>
      </c>
      <c r="H3" s="93" t="s">
        <v>51</v>
      </c>
      <c r="I3" s="117" t="s">
        <v>298</v>
      </c>
      <c r="J3" s="118"/>
      <c r="K3" s="119"/>
      <c r="L3" s="120"/>
      <c r="M3" s="105"/>
      <c r="N3" s="105" t="s">
        <v>53</v>
      </c>
      <c r="O3" s="8">
        <v>13635164</v>
      </c>
      <c r="P3" s="106"/>
    </row>
    <row r="4" spans="1:16">
      <c r="A4" s="111" t="s">
        <v>295</v>
      </c>
      <c r="B4" s="107" t="s">
        <v>15</v>
      </c>
      <c r="C4" s="115">
        <v>45842</v>
      </c>
      <c r="D4" s="107"/>
      <c r="E4" s="134" t="s">
        <v>299</v>
      </c>
      <c r="F4" s="121">
        <v>149.88499999999999</v>
      </c>
      <c r="G4" s="117" t="s">
        <v>298</v>
      </c>
      <c r="H4" s="93" t="s">
        <v>51</v>
      </c>
      <c r="I4" s="117" t="s">
        <v>298</v>
      </c>
      <c r="J4" s="123"/>
      <c r="K4" s="124"/>
      <c r="L4" s="125"/>
      <c r="M4" s="107"/>
      <c r="N4" s="107" t="s">
        <v>53</v>
      </c>
      <c r="O4" s="8">
        <v>13703473</v>
      </c>
      <c r="P4" s="108"/>
    </row>
    <row r="5" spans="1:16">
      <c r="A5" s="111" t="s">
        <v>295</v>
      </c>
      <c r="B5" s="105" t="s">
        <v>15</v>
      </c>
      <c r="C5" s="115">
        <v>45842</v>
      </c>
      <c r="D5" s="105"/>
      <c r="E5" s="134" t="s">
        <v>299</v>
      </c>
      <c r="F5" s="121">
        <v>49.662999999999997</v>
      </c>
      <c r="G5" s="117" t="s">
        <v>298</v>
      </c>
      <c r="H5" s="93" t="s">
        <v>51</v>
      </c>
      <c r="I5" s="117" t="s">
        <v>298</v>
      </c>
      <c r="J5" s="118"/>
      <c r="K5" s="119"/>
      <c r="L5" s="120"/>
      <c r="M5" s="105"/>
      <c r="N5" s="107" t="s">
        <v>53</v>
      </c>
      <c r="O5" s="8">
        <v>13702956</v>
      </c>
      <c r="P5" s="106"/>
    </row>
    <row r="6" spans="1:16">
      <c r="A6" s="111" t="s">
        <v>295</v>
      </c>
      <c r="B6" s="105" t="s">
        <v>15</v>
      </c>
      <c r="C6" s="115">
        <v>45873</v>
      </c>
      <c r="E6" s="134" t="s">
        <v>300</v>
      </c>
      <c r="F6" s="121">
        <v>103</v>
      </c>
      <c r="G6" s="117" t="s">
        <v>298</v>
      </c>
      <c r="H6" s="93" t="s">
        <v>51</v>
      </c>
      <c r="I6" s="117" t="s">
        <v>298</v>
      </c>
      <c r="N6" s="107" t="s">
        <v>53</v>
      </c>
      <c r="O6" s="8">
        <v>13710331</v>
      </c>
    </row>
    <row r="7" spans="1:16">
      <c r="A7" s="111" t="s">
        <v>295</v>
      </c>
      <c r="B7" s="105" t="s">
        <v>15</v>
      </c>
      <c r="C7" s="115" t="s">
        <v>301</v>
      </c>
      <c r="E7" s="134" t="s">
        <v>299</v>
      </c>
      <c r="F7" s="121">
        <v>91.575000000000003</v>
      </c>
      <c r="G7" s="133" t="s">
        <v>298</v>
      </c>
      <c r="H7" s="93" t="s">
        <v>51</v>
      </c>
      <c r="I7" s="133" t="s">
        <v>298</v>
      </c>
      <c r="N7" s="107" t="s">
        <v>53</v>
      </c>
      <c r="O7" s="8">
        <v>13768526</v>
      </c>
    </row>
    <row r="8" spans="1:16">
      <c r="A8" s="111" t="s">
        <v>295</v>
      </c>
      <c r="B8" s="105" t="s">
        <v>15</v>
      </c>
      <c r="C8" s="115" t="s">
        <v>301</v>
      </c>
      <c r="E8" s="134" t="s">
        <v>302</v>
      </c>
      <c r="F8" s="121">
        <v>156</v>
      </c>
      <c r="G8" s="133" t="s">
        <v>303</v>
      </c>
      <c r="H8" s="93" t="s">
        <v>51</v>
      </c>
      <c r="I8" s="133" t="s">
        <v>52</v>
      </c>
      <c r="M8" s="105" t="s">
        <v>26</v>
      </c>
      <c r="N8" s="107" t="s">
        <v>53</v>
      </c>
      <c r="O8" s="8">
        <v>13768036</v>
      </c>
    </row>
    <row r="9" spans="1:16">
      <c r="A9" s="111" t="s">
        <v>295</v>
      </c>
      <c r="B9" s="105" t="s">
        <v>15</v>
      </c>
      <c r="C9" s="115" t="s">
        <v>304</v>
      </c>
      <c r="E9" s="134" t="s">
        <v>305</v>
      </c>
      <c r="F9" s="121">
        <v>49</v>
      </c>
      <c r="G9" s="133" t="s">
        <v>298</v>
      </c>
      <c r="H9" s="93" t="s">
        <v>51</v>
      </c>
      <c r="I9" s="133" t="s">
        <v>298</v>
      </c>
      <c r="N9" s="107" t="s">
        <v>53</v>
      </c>
      <c r="O9" s="8">
        <v>13776579</v>
      </c>
    </row>
    <row r="10" spans="1:16">
      <c r="A10" s="111" t="s">
        <v>295</v>
      </c>
      <c r="B10" s="105" t="s">
        <v>15</v>
      </c>
      <c r="C10" s="115" t="s">
        <v>306</v>
      </c>
      <c r="E10" s="134" t="s">
        <v>76</v>
      </c>
      <c r="F10" s="121">
        <v>39.375</v>
      </c>
      <c r="G10" s="133" t="s">
        <v>283</v>
      </c>
      <c r="H10" s="93" t="s">
        <v>51</v>
      </c>
      <c r="I10" s="133" t="s">
        <v>52</v>
      </c>
      <c r="N10" s="107" t="s">
        <v>53</v>
      </c>
      <c r="O10" s="8">
        <v>13778963</v>
      </c>
    </row>
    <row r="11" spans="1:16">
      <c r="A11" s="111" t="s">
        <v>295</v>
      </c>
      <c r="B11" s="105"/>
      <c r="C11" s="115" t="s">
        <v>306</v>
      </c>
      <c r="E11" s="191" t="s">
        <v>307</v>
      </c>
      <c r="F11" s="192">
        <v>30</v>
      </c>
      <c r="G11" s="193" t="s">
        <v>303</v>
      </c>
      <c r="H11" s="194" t="s">
        <v>51</v>
      </c>
      <c r="I11" s="193" t="s">
        <v>52</v>
      </c>
      <c r="N11" s="107" t="s">
        <v>53</v>
      </c>
      <c r="O11" s="8">
        <v>13788198</v>
      </c>
    </row>
    <row r="12" spans="1:16">
      <c r="A12" s="111" t="s">
        <v>295</v>
      </c>
      <c r="B12" s="105" t="s">
        <v>15</v>
      </c>
      <c r="C12" s="115" t="s">
        <v>306</v>
      </c>
      <c r="E12" s="191" t="s">
        <v>307</v>
      </c>
      <c r="F12" s="192">
        <v>60</v>
      </c>
      <c r="G12" s="193" t="s">
        <v>303</v>
      </c>
      <c r="H12" s="194" t="s">
        <v>51</v>
      </c>
      <c r="I12" s="193" t="s">
        <v>52</v>
      </c>
      <c r="N12" s="107" t="s">
        <v>53</v>
      </c>
      <c r="O12" s="8">
        <v>13804618</v>
      </c>
    </row>
    <row r="13" spans="1:16">
      <c r="A13" s="111" t="s">
        <v>295</v>
      </c>
      <c r="B13" s="105" t="s">
        <v>15</v>
      </c>
      <c r="C13" s="115" t="s">
        <v>308</v>
      </c>
      <c r="E13" s="212" t="s">
        <v>309</v>
      </c>
      <c r="F13" s="213">
        <v>24</v>
      </c>
      <c r="G13" s="142" t="s">
        <v>303</v>
      </c>
      <c r="H13" s="148" t="s">
        <v>51</v>
      </c>
      <c r="I13" s="142" t="s">
        <v>52</v>
      </c>
      <c r="J13" s="11"/>
      <c r="K13" s="11"/>
      <c r="L13" s="11"/>
      <c r="M13" s="105" t="s">
        <v>26</v>
      </c>
      <c r="N13" s="145" t="s">
        <v>53</v>
      </c>
      <c r="O13" s="146">
        <v>13794585</v>
      </c>
    </row>
    <row r="14" spans="1:16">
      <c r="A14" s="111" t="s">
        <v>295</v>
      </c>
      <c r="B14" s="105" t="s">
        <v>15</v>
      </c>
      <c r="C14" s="115" t="s">
        <v>310</v>
      </c>
      <c r="E14" s="134" t="s">
        <v>311</v>
      </c>
      <c r="F14" s="188">
        <v>454.65</v>
      </c>
      <c r="G14" s="133" t="s">
        <v>303</v>
      </c>
      <c r="H14" s="93" t="s">
        <v>51</v>
      </c>
      <c r="I14" s="133" t="s">
        <v>52</v>
      </c>
      <c r="M14" s="105" t="s">
        <v>26</v>
      </c>
      <c r="N14" s="107" t="s">
        <v>53</v>
      </c>
      <c r="O14" s="8">
        <v>13807654</v>
      </c>
    </row>
    <row r="15" spans="1:16">
      <c r="A15" s="111" t="s">
        <v>295</v>
      </c>
      <c r="B15" s="105" t="s">
        <v>15</v>
      </c>
      <c r="C15" s="115" t="s">
        <v>310</v>
      </c>
      <c r="E15" s="134" t="s">
        <v>312</v>
      </c>
      <c r="F15" s="188">
        <v>164.05</v>
      </c>
      <c r="G15" s="133" t="s">
        <v>283</v>
      </c>
      <c r="H15" s="93" t="s">
        <v>51</v>
      </c>
      <c r="I15" s="133" t="s">
        <v>52</v>
      </c>
      <c r="N15" s="107" t="s">
        <v>53</v>
      </c>
      <c r="O15" s="8">
        <v>13804972</v>
      </c>
    </row>
    <row r="16" spans="1:16">
      <c r="A16" s="111" t="s">
        <v>295</v>
      </c>
      <c r="B16" s="105" t="s">
        <v>15</v>
      </c>
      <c r="C16" s="115" t="s">
        <v>310</v>
      </c>
      <c r="E16" s="134" t="s">
        <v>76</v>
      </c>
      <c r="F16" s="121">
        <v>45.652000000000001</v>
      </c>
      <c r="G16" s="117" t="s">
        <v>283</v>
      </c>
      <c r="H16" s="93" t="s">
        <v>51</v>
      </c>
      <c r="I16" s="117" t="s">
        <v>52</v>
      </c>
      <c r="N16" s="107" t="s">
        <v>53</v>
      </c>
      <c r="O16" s="8">
        <v>13803555</v>
      </c>
    </row>
    <row r="17" spans="1:15">
      <c r="A17" s="111"/>
      <c r="B17" s="105" t="s">
        <v>15</v>
      </c>
      <c r="C17" s="115" t="s">
        <v>310</v>
      </c>
      <c r="E17" s="134" t="s">
        <v>61</v>
      </c>
      <c r="F17" s="187">
        <v>137.22800000000001</v>
      </c>
      <c r="G17" s="133" t="s">
        <v>303</v>
      </c>
      <c r="H17" s="93" t="s">
        <v>51</v>
      </c>
      <c r="I17" s="133" t="s">
        <v>52</v>
      </c>
      <c r="N17" s="107" t="s">
        <v>53</v>
      </c>
      <c r="O17" s="8">
        <v>13704238</v>
      </c>
    </row>
    <row r="18" spans="1:15">
      <c r="A18" s="111" t="s">
        <v>295</v>
      </c>
      <c r="B18" s="105" t="s">
        <v>15</v>
      </c>
      <c r="C18" s="115" t="s">
        <v>313</v>
      </c>
      <c r="E18" s="199" t="s">
        <v>299</v>
      </c>
      <c r="F18" s="200">
        <v>220.709</v>
      </c>
      <c r="G18" s="201" t="s">
        <v>298</v>
      </c>
      <c r="H18" s="202" t="s">
        <v>51</v>
      </c>
      <c r="I18" s="201" t="s">
        <v>298</v>
      </c>
      <c r="J18" s="203"/>
      <c r="K18" s="203"/>
      <c r="L18" s="203"/>
      <c r="M18" s="203"/>
      <c r="N18" s="204" t="s">
        <v>53</v>
      </c>
      <c r="O18" s="205">
        <v>13856042</v>
      </c>
    </row>
    <row r="19" spans="1:15">
      <c r="A19" s="111" t="s">
        <v>295</v>
      </c>
      <c r="B19" s="105" t="s">
        <v>15</v>
      </c>
      <c r="C19" s="115" t="s">
        <v>313</v>
      </c>
      <c r="E19" s="191" t="s">
        <v>109</v>
      </c>
      <c r="F19" s="192">
        <v>27.09</v>
      </c>
      <c r="G19" s="198" t="s">
        <v>303</v>
      </c>
      <c r="H19" s="194" t="s">
        <v>51</v>
      </c>
      <c r="I19" s="198" t="s">
        <v>52</v>
      </c>
      <c r="J19" s="195"/>
      <c r="K19" s="195"/>
      <c r="L19" s="195"/>
      <c r="M19" s="105" t="s">
        <v>26</v>
      </c>
      <c r="N19" s="196" t="s">
        <v>53</v>
      </c>
      <c r="O19" s="197">
        <v>13860538</v>
      </c>
    </row>
    <row r="20" spans="1:15">
      <c r="A20" s="111" t="s">
        <v>295</v>
      </c>
      <c r="B20" s="105" t="s">
        <v>15</v>
      </c>
      <c r="C20" s="115" t="s">
        <v>313</v>
      </c>
      <c r="E20" s="191" t="s">
        <v>307</v>
      </c>
      <c r="F20" s="192">
        <v>12</v>
      </c>
      <c r="G20" s="198" t="s">
        <v>303</v>
      </c>
      <c r="H20" s="194" t="s">
        <v>51</v>
      </c>
      <c r="I20" s="198" t="s">
        <v>52</v>
      </c>
      <c r="J20" s="195"/>
      <c r="K20" s="195"/>
      <c r="L20" s="195"/>
      <c r="M20" s="195"/>
      <c r="N20" s="196" t="s">
        <v>53</v>
      </c>
      <c r="O20" s="197">
        <v>13855362</v>
      </c>
    </row>
    <row r="21" spans="1:15">
      <c r="A21" s="111" t="s">
        <v>295</v>
      </c>
      <c r="B21" s="105" t="s">
        <v>15</v>
      </c>
      <c r="C21" s="115" t="s">
        <v>313</v>
      </c>
      <c r="E21" s="191" t="s">
        <v>314</v>
      </c>
      <c r="F21" s="206">
        <v>7.5750000000000002</v>
      </c>
      <c r="G21" s="193" t="s">
        <v>303</v>
      </c>
      <c r="H21" s="194" t="s">
        <v>51</v>
      </c>
      <c r="I21" s="193" t="s">
        <v>52</v>
      </c>
      <c r="J21" s="195"/>
      <c r="K21" s="195"/>
      <c r="L21" s="195"/>
      <c r="M21" s="195"/>
      <c r="N21" s="196" t="s">
        <v>53</v>
      </c>
      <c r="O21" s="197">
        <v>13855310</v>
      </c>
    </row>
    <row r="22" spans="1:15">
      <c r="A22" s="111" t="s">
        <v>295</v>
      </c>
      <c r="B22" s="105" t="s">
        <v>15</v>
      </c>
      <c r="C22" s="115" t="s">
        <v>315</v>
      </c>
      <c r="E22" s="134" t="s">
        <v>75</v>
      </c>
      <c r="F22" s="187">
        <v>81.900000000000006</v>
      </c>
      <c r="G22" s="133" t="s">
        <v>303</v>
      </c>
      <c r="H22" s="93" t="s">
        <v>51</v>
      </c>
      <c r="I22" s="133" t="s">
        <v>52</v>
      </c>
      <c r="N22" s="107" t="s">
        <v>53</v>
      </c>
      <c r="O22" s="8">
        <v>3860633</v>
      </c>
    </row>
    <row r="23" spans="1:15" ht="15">
      <c r="A23" s="111" t="s">
        <v>295</v>
      </c>
      <c r="B23" s="105" t="s">
        <v>15</v>
      </c>
      <c r="C23" s="115" t="s">
        <v>315</v>
      </c>
      <c r="E23" s="189" t="s">
        <v>113</v>
      </c>
      <c r="F23" s="187">
        <v>2204</v>
      </c>
      <c r="G23" s="133" t="s">
        <v>283</v>
      </c>
      <c r="H23" s="93" t="s">
        <v>51</v>
      </c>
      <c r="I23" s="133" t="s">
        <v>52</v>
      </c>
      <c r="M23" s="105" t="s">
        <v>26</v>
      </c>
      <c r="N23" s="107" t="s">
        <v>53</v>
      </c>
      <c r="O23" s="8">
        <v>13846263</v>
      </c>
    </row>
    <row r="24" spans="1:15">
      <c r="A24" s="111" t="s">
        <v>295</v>
      </c>
      <c r="B24" s="105" t="s">
        <v>15</v>
      </c>
      <c r="C24" s="115" t="s">
        <v>316</v>
      </c>
      <c r="E24" s="134" t="s">
        <v>300</v>
      </c>
      <c r="F24" s="121">
        <v>28.318999999999999</v>
      </c>
      <c r="G24" s="117" t="s">
        <v>298</v>
      </c>
      <c r="H24" s="93" t="s">
        <v>51</v>
      </c>
      <c r="I24" s="117" t="s">
        <v>298</v>
      </c>
      <c r="N24" s="107" t="s">
        <v>53</v>
      </c>
      <c r="O24" s="8">
        <v>13856599</v>
      </c>
    </row>
    <row r="25" spans="1:15">
      <c r="A25" s="111" t="s">
        <v>295</v>
      </c>
      <c r="B25" s="105" t="s">
        <v>15</v>
      </c>
      <c r="C25" s="115" t="s">
        <v>317</v>
      </c>
      <c r="E25" s="134" t="s">
        <v>67</v>
      </c>
      <c r="F25" s="187">
        <v>115</v>
      </c>
      <c r="G25" s="117" t="s">
        <v>101</v>
      </c>
      <c r="H25" s="93" t="s">
        <v>51</v>
      </c>
      <c r="I25" s="107" t="s">
        <v>101</v>
      </c>
      <c r="M25" s="105" t="s">
        <v>26</v>
      </c>
      <c r="N25" s="107" t="s">
        <v>53</v>
      </c>
      <c r="O25" s="8">
        <v>13902365</v>
      </c>
    </row>
    <row r="26" spans="1:15">
      <c r="A26" s="111" t="s">
        <v>295</v>
      </c>
      <c r="B26" s="105" t="s">
        <v>15</v>
      </c>
      <c r="C26" s="115" t="s">
        <v>317</v>
      </c>
      <c r="E26" s="134" t="s">
        <v>318</v>
      </c>
      <c r="F26" s="187">
        <v>60</v>
      </c>
      <c r="G26" s="133" t="s">
        <v>303</v>
      </c>
      <c r="H26" s="93" t="s">
        <v>51</v>
      </c>
      <c r="I26" s="133" t="s">
        <v>319</v>
      </c>
      <c r="M26" t="s">
        <v>320</v>
      </c>
      <c r="N26" s="107" t="s">
        <v>53</v>
      </c>
      <c r="O26" s="8">
        <v>13903046</v>
      </c>
    </row>
    <row r="27" spans="1:15">
      <c r="A27" s="111" t="s">
        <v>295</v>
      </c>
      <c r="B27" s="105" t="s">
        <v>15</v>
      </c>
      <c r="C27" s="115" t="s">
        <v>317</v>
      </c>
      <c r="E27" s="134" t="s">
        <v>321</v>
      </c>
      <c r="F27" s="187">
        <v>51</v>
      </c>
      <c r="G27" s="117" t="s">
        <v>101</v>
      </c>
      <c r="H27" s="93" t="s">
        <v>51</v>
      </c>
      <c r="I27" s="107" t="s">
        <v>101</v>
      </c>
      <c r="N27" s="107" t="s">
        <v>53</v>
      </c>
      <c r="O27" s="8">
        <v>13929299</v>
      </c>
    </row>
    <row r="28" spans="1:15">
      <c r="A28" s="111" t="s">
        <v>295</v>
      </c>
      <c r="B28" s="105" t="s">
        <v>15</v>
      </c>
      <c r="C28" s="115" t="s">
        <v>317</v>
      </c>
      <c r="E28" s="134" t="s">
        <v>299</v>
      </c>
      <c r="F28" s="121">
        <v>174</v>
      </c>
      <c r="G28" s="117" t="s">
        <v>298</v>
      </c>
      <c r="H28" s="93" t="s">
        <v>51</v>
      </c>
      <c r="I28" s="117" t="s">
        <v>298</v>
      </c>
      <c r="N28" s="107" t="s">
        <v>53</v>
      </c>
      <c r="O28" s="8">
        <v>13926225</v>
      </c>
    </row>
    <row r="29" spans="1:15">
      <c r="A29" s="111"/>
      <c r="B29" s="105"/>
      <c r="C29" s="115" t="s">
        <v>322</v>
      </c>
      <c r="E29" s="134" t="s">
        <v>300</v>
      </c>
      <c r="F29" s="188">
        <v>18.204000000000001</v>
      </c>
      <c r="G29" s="117" t="s">
        <v>298</v>
      </c>
      <c r="H29" s="93" t="s">
        <v>51</v>
      </c>
      <c r="I29" s="117" t="s">
        <v>298</v>
      </c>
      <c r="N29" s="107" t="s">
        <v>53</v>
      </c>
      <c r="O29" s="8">
        <v>13927837</v>
      </c>
    </row>
    <row r="30" spans="1:15">
      <c r="A30" s="111" t="s">
        <v>295</v>
      </c>
      <c r="B30" s="105" t="s">
        <v>15</v>
      </c>
      <c r="C30" s="115" t="s">
        <v>323</v>
      </c>
      <c r="E30" s="134" t="s">
        <v>59</v>
      </c>
      <c r="F30" s="187">
        <v>41.625</v>
      </c>
      <c r="G30" s="133" t="s">
        <v>283</v>
      </c>
      <c r="H30" s="93" t="s">
        <v>51</v>
      </c>
      <c r="I30" s="133" t="s">
        <v>52</v>
      </c>
      <c r="M30" s="105" t="s">
        <v>26</v>
      </c>
      <c r="N30" s="107" t="s">
        <v>53</v>
      </c>
      <c r="O30" s="8">
        <v>13911313</v>
      </c>
    </row>
    <row r="31" spans="1:15">
      <c r="A31" s="111" t="s">
        <v>295</v>
      </c>
      <c r="B31" s="105" t="s">
        <v>15</v>
      </c>
      <c r="C31" s="115" t="s">
        <v>323</v>
      </c>
      <c r="E31" s="96" t="s">
        <v>275</v>
      </c>
      <c r="F31" s="187">
        <v>48</v>
      </c>
      <c r="G31" s="133" t="s">
        <v>303</v>
      </c>
      <c r="H31" s="93" t="s">
        <v>51</v>
      </c>
      <c r="I31" s="133" t="s">
        <v>52</v>
      </c>
      <c r="M31" s="105" t="s">
        <v>26</v>
      </c>
      <c r="N31" s="107" t="s">
        <v>53</v>
      </c>
      <c r="O31" s="8">
        <v>13918835</v>
      </c>
    </row>
    <row r="32" spans="1:15">
      <c r="A32" s="111" t="s">
        <v>295</v>
      </c>
      <c r="B32" s="105" t="s">
        <v>15</v>
      </c>
      <c r="C32" s="115" t="s">
        <v>323</v>
      </c>
      <c r="E32" s="191" t="s">
        <v>61</v>
      </c>
      <c r="F32" s="206">
        <v>255.15</v>
      </c>
      <c r="G32" s="193" t="s">
        <v>303</v>
      </c>
      <c r="H32" s="194" t="s">
        <v>51</v>
      </c>
      <c r="I32" s="193" t="s">
        <v>52</v>
      </c>
      <c r="J32" s="195"/>
      <c r="K32" s="195"/>
      <c r="L32" s="195"/>
      <c r="M32" s="105" t="s">
        <v>26</v>
      </c>
      <c r="N32" s="196" t="s">
        <v>53</v>
      </c>
      <c r="O32" s="197">
        <v>13936257</v>
      </c>
    </row>
    <row r="33" spans="1:15">
      <c r="A33" s="111" t="s">
        <v>295</v>
      </c>
      <c r="B33" s="105" t="s">
        <v>15</v>
      </c>
      <c r="C33" s="115" t="s">
        <v>323</v>
      </c>
      <c r="E33" s="191" t="s">
        <v>67</v>
      </c>
      <c r="F33" s="206">
        <v>36.6</v>
      </c>
      <c r="G33" s="198" t="s">
        <v>101</v>
      </c>
      <c r="H33" s="194" t="s">
        <v>51</v>
      </c>
      <c r="I33" s="196" t="s">
        <v>101</v>
      </c>
      <c r="J33" s="195"/>
      <c r="K33" s="195"/>
      <c r="L33" s="195"/>
      <c r="M33" s="105" t="s">
        <v>26</v>
      </c>
      <c r="N33" s="196" t="s">
        <v>53</v>
      </c>
      <c r="O33" s="197">
        <v>13912995</v>
      </c>
    </row>
    <row r="34" spans="1:15">
      <c r="A34" s="111" t="s">
        <v>295</v>
      </c>
      <c r="B34" s="105" t="s">
        <v>15</v>
      </c>
      <c r="C34" s="115" t="s">
        <v>323</v>
      </c>
      <c r="E34" s="191" t="s">
        <v>307</v>
      </c>
      <c r="F34" s="192">
        <v>12</v>
      </c>
      <c r="G34" s="198" t="s">
        <v>303</v>
      </c>
      <c r="H34" s="194" t="s">
        <v>51</v>
      </c>
      <c r="I34" s="198" t="s">
        <v>52</v>
      </c>
      <c r="J34" s="195"/>
      <c r="K34" s="195"/>
      <c r="L34" s="195"/>
      <c r="M34" s="195"/>
      <c r="N34" s="196" t="s">
        <v>53</v>
      </c>
      <c r="O34" s="197">
        <v>13901159</v>
      </c>
    </row>
    <row r="35" spans="1:15">
      <c r="A35" s="111" t="s">
        <v>295</v>
      </c>
      <c r="B35" s="105" t="s">
        <v>15</v>
      </c>
      <c r="C35" s="115" t="s">
        <v>323</v>
      </c>
      <c r="E35" s="191" t="s">
        <v>314</v>
      </c>
      <c r="F35" s="206">
        <v>7.5750000000000002</v>
      </c>
      <c r="G35" s="193" t="s">
        <v>303</v>
      </c>
      <c r="H35" s="194" t="s">
        <v>51</v>
      </c>
      <c r="I35" s="193" t="s">
        <v>52</v>
      </c>
      <c r="J35" s="195"/>
      <c r="K35" s="195"/>
      <c r="L35" s="195"/>
      <c r="M35" s="195"/>
      <c r="N35" s="196" t="s">
        <v>53</v>
      </c>
      <c r="O35" s="197">
        <v>13901188</v>
      </c>
    </row>
    <row r="36" spans="1:15">
      <c r="A36" s="111" t="s">
        <v>295</v>
      </c>
      <c r="B36" s="105" t="s">
        <v>15</v>
      </c>
      <c r="C36" s="115" t="s">
        <v>323</v>
      </c>
      <c r="E36" s="134" t="s">
        <v>299</v>
      </c>
      <c r="F36" s="187">
        <v>22.870999999999999</v>
      </c>
      <c r="G36" s="117" t="s">
        <v>298</v>
      </c>
      <c r="H36" s="93" t="s">
        <v>51</v>
      </c>
      <c r="I36" s="117" t="s">
        <v>298</v>
      </c>
      <c r="N36" s="107" t="s">
        <v>53</v>
      </c>
      <c r="O36" s="139">
        <v>13937934</v>
      </c>
    </row>
    <row r="37" spans="1:15">
      <c r="A37" s="111" t="s">
        <v>295</v>
      </c>
      <c r="B37" s="105" t="s">
        <v>15</v>
      </c>
      <c r="C37" s="115" t="s">
        <v>323</v>
      </c>
      <c r="E37" s="134" t="s">
        <v>67</v>
      </c>
      <c r="F37" s="187">
        <v>15</v>
      </c>
      <c r="G37" s="117" t="s">
        <v>101</v>
      </c>
      <c r="H37" s="93" t="s">
        <v>51</v>
      </c>
      <c r="I37" s="107" t="s">
        <v>101</v>
      </c>
      <c r="M37" s="105" t="s">
        <v>26</v>
      </c>
      <c r="N37" s="107" t="s">
        <v>53</v>
      </c>
      <c r="O37" s="8">
        <v>13941303</v>
      </c>
    </row>
    <row r="38" spans="1:15">
      <c r="F38" s="190">
        <f>SUM(F2:F37)</f>
        <v>5033.7860000000001</v>
      </c>
    </row>
  </sheetData>
  <autoFilter ref="B1:P38" xr:uid="{6A41F547-C780-44CF-B232-3F0CB14E5C5F}">
    <sortState xmlns:xlrd2="http://schemas.microsoft.com/office/spreadsheetml/2017/richdata2" ref="B10:P16">
      <sortCondition ref="C1:C38"/>
    </sortState>
  </autoFilter>
  <hyperlinks>
    <hyperlink ref="O2" r:id="rId1" display="https://hub.floward.io/order/13696374" xr:uid="{3F23716A-4B13-4854-9434-DCECDE5B21B3}"/>
    <hyperlink ref="O3" r:id="rId2" display="https://hub.floward.io/order/13635164" xr:uid="{2418C2BB-04CC-4102-9D42-876B1A2011A0}"/>
    <hyperlink ref="O4" r:id="rId3" display="https://hub.floward.io/order/13703473" xr:uid="{95812E3B-BBA6-4BEE-8261-42E6D5979229}"/>
    <hyperlink ref="O5" r:id="rId4" display="https://hub.floward.io/order/13702956" xr:uid="{15A3A53C-DB45-4D3A-AA61-5484637018AB}"/>
    <hyperlink ref="O7" r:id="rId5" display="https://hub.floward.io/order/13768526" xr:uid="{1BFD762E-E02A-4147-B282-478519C0BFB1}"/>
    <hyperlink ref="O8" r:id="rId6" display="https://hub.floward.io/order/13768036" xr:uid="{A9CDE7D0-0CD1-4C41-986C-D0675AA54132}"/>
    <hyperlink ref="O10" r:id="rId7" display="https://hub.floward.io/order/13778963" xr:uid="{E7B1976B-B4BD-4DDE-B8D2-58B0EA7C39E0}"/>
    <hyperlink ref="O13" r:id="rId8" display="https://hub.floward.io/order/13794585" xr:uid="{B6278051-7744-483C-BA9C-8D63E6EDF865}"/>
    <hyperlink ref="O14" r:id="rId9" display="https://hub.floward.io/order/13807654" xr:uid="{41D546D2-3684-4954-BC98-7043641EB703}"/>
    <hyperlink ref="O15" r:id="rId10" display="https://hub.floward.io/order/13804972" xr:uid="{566EF952-F067-4EDD-B31B-26AD456FCCDB}"/>
    <hyperlink ref="O16" r:id="rId11" display="https://hub.floward.io/order/13803555" xr:uid="{0EFC1839-CB0B-4815-BFD3-042D9CFE3BE4}"/>
    <hyperlink ref="O23" r:id="rId12" display="https://hub.floward.io/order/13846263" xr:uid="{C2FE1D45-651D-4FE6-90FD-5B9413B4CC1B}"/>
    <hyperlink ref="O9" r:id="rId13" display="https://hub.floward.io/order/13776579" xr:uid="{38B0F1A3-A06A-4141-ABC7-21BA92B63F57}"/>
    <hyperlink ref="O12" r:id="rId14" display="https://hub.floward.io/order/13804618" xr:uid="{97443F98-55D8-48A1-A557-7379FD90AC3D}"/>
    <hyperlink ref="O11" r:id="rId15" display="https://hub.floward.io/order/13788198" xr:uid="{6F701DCE-535F-4C57-B06A-AE5669B24B3D}"/>
    <hyperlink ref="O6" r:id="rId16" display="https://hub.floward.io/order/13710331" xr:uid="{BF3B7CCF-3317-4256-84E8-8A5FD933F029}"/>
    <hyperlink ref="O19" r:id="rId17" display="https://hub.floward.io/order/13860538" xr:uid="{C46A201A-D7E3-402E-B773-C384BB849B87}"/>
    <hyperlink ref="O22" r:id="rId18" display="https://hub.floward.io/order/13860633" xr:uid="{76C08C7E-A480-4456-A476-3B87840F5DE2}"/>
    <hyperlink ref="O18" r:id="rId19" display="https://hub.floward.io/order/13856042" xr:uid="{ABAF07DE-8A6E-4955-B016-56AE748D385F}"/>
    <hyperlink ref="O20" r:id="rId20" display="https://hub.floward.io/order/13855362" xr:uid="{55243341-D3D9-4EEE-8ADD-9184716746A3}"/>
    <hyperlink ref="O21" r:id="rId21" display="https://hub.floward.io/order/13855310" xr:uid="{F644A4EA-1EBB-4591-958F-477E68F321BC}"/>
    <hyperlink ref="O24" r:id="rId22" display="https://hub.floward.io/order/13856599" xr:uid="{6C66A45D-26D4-405B-9540-D911F2FDDF68}"/>
    <hyperlink ref="O25" r:id="rId23" display="https://hub.floward.io/order/13902365" xr:uid="{296E335C-EF77-4B94-84D3-FA5E1B2998E8}"/>
    <hyperlink ref="O26" r:id="rId24" display="https://hub.floward.io/order/13903046" xr:uid="{A22B6FA4-E859-4F49-903F-4A0F8D70EFA5}"/>
    <hyperlink ref="O27" r:id="rId25" display="https://hub.floward.io/order/13929299" xr:uid="{B9C24000-26EF-438B-9060-A0B6B34FABE2}"/>
    <hyperlink ref="O28" r:id="rId26" display="https://hub.floward.io/order/13926225" xr:uid="{63525F54-F747-435E-837A-49F7710BDBB7}"/>
    <hyperlink ref="O30" r:id="rId27" display="https://hub.floward.io/order/13911313" xr:uid="{59F2841C-4A29-4354-A8ED-2CB96D8F74AC}"/>
    <hyperlink ref="O31" r:id="rId28" display="https://hub.floward.io/order/13918835" xr:uid="{99F8ACD9-16F7-4ADE-9FDC-346665825189}"/>
    <hyperlink ref="O32" r:id="rId29" display="https://hub.floward.io/order/13936257" xr:uid="{76622993-86B5-43B9-A153-5FEF9B3D8434}"/>
    <hyperlink ref="O33" r:id="rId30" display="https://hub.floward.io/order/13912995" xr:uid="{D1CB12DD-306D-4639-B64D-8C26ECBB86A3}"/>
    <hyperlink ref="O34" r:id="rId31" display="https://hub.floward.io/order/13901159" xr:uid="{3F366C63-4509-4E4B-998E-3ACDD4793D5E}"/>
    <hyperlink ref="O29" r:id="rId32" display="https://hub.floward.io/order/13927837" xr:uid="{29C04DAD-12E2-4EE2-85E4-4A77F76426E9}"/>
    <hyperlink ref="O35" r:id="rId33" display="https://hub.floward.io/order/13901188" xr:uid="{348AD3F9-98B9-4176-B289-55DD162611FA}"/>
    <hyperlink ref="O37" r:id="rId34" display="https://hub.floward.io/order/13941303" xr:uid="{D4A97A6A-3ABE-4528-9CF8-B331FF24B634}"/>
  </hyperlinks>
  <pageMargins left="0.7" right="0.7" top="0.75" bottom="0.75" header="0.3" footer="0.3"/>
  <pageSetup paperSize="9" orientation="portrait" r:id="rId3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8B8A-A13F-47B6-B5FE-2F51D055FAE9}">
  <sheetPr filterMode="1"/>
  <dimension ref="A1:P44"/>
  <sheetViews>
    <sheetView workbookViewId="0">
      <selection sqref="A1:P12"/>
    </sheetView>
  </sheetViews>
  <sheetFormatPr defaultRowHeight="14.4"/>
  <cols>
    <col min="1" max="1" width="11.6640625" customWidth="1"/>
    <col min="2" max="2" width="12" customWidth="1"/>
    <col min="3" max="3" width="15.44140625" customWidth="1"/>
    <col min="4" max="4" width="12.6640625" customWidth="1"/>
    <col min="5" max="5" width="27.33203125" customWidth="1"/>
    <col min="6" max="6" width="15.109375" customWidth="1"/>
    <col min="7" max="7" width="13.6640625" customWidth="1"/>
    <col min="8" max="8" width="15.44140625" customWidth="1"/>
    <col min="9" max="9" width="16.44140625" customWidth="1"/>
    <col min="10" max="10" width="13.33203125" customWidth="1"/>
    <col min="13" max="13" width="14.6640625" customWidth="1"/>
    <col min="14" max="14" width="13.33203125" customWidth="1"/>
    <col min="15" max="15" width="15.44140625" customWidth="1"/>
    <col min="16" max="16" width="14.44140625" customWidth="1"/>
  </cols>
  <sheetData>
    <row r="1" spans="1:16">
      <c r="A1" s="112" t="s">
        <v>0</v>
      </c>
      <c r="B1" s="109" t="s">
        <v>1</v>
      </c>
      <c r="C1" s="113" t="s">
        <v>2</v>
      </c>
      <c r="D1" s="109" t="s">
        <v>3</v>
      </c>
      <c r="E1" s="207" t="s">
        <v>4</v>
      </c>
      <c r="F1" s="109" t="s">
        <v>5</v>
      </c>
      <c r="G1" s="109" t="s">
        <v>47</v>
      </c>
      <c r="H1" s="109" t="s">
        <v>6</v>
      </c>
      <c r="I1" s="109" t="s">
        <v>7</v>
      </c>
      <c r="J1" s="109" t="s">
        <v>8</v>
      </c>
      <c r="K1" s="114" t="s">
        <v>9</v>
      </c>
      <c r="L1" s="114" t="s">
        <v>10</v>
      </c>
      <c r="M1" s="109" t="s">
        <v>11</v>
      </c>
      <c r="N1" s="109" t="s">
        <v>48</v>
      </c>
      <c r="O1" s="109" t="s">
        <v>12</v>
      </c>
      <c r="P1" s="110" t="s">
        <v>13</v>
      </c>
    </row>
    <row r="2" spans="1:16">
      <c r="A2" s="111" t="s">
        <v>324</v>
      </c>
      <c r="B2" s="105" t="s">
        <v>15</v>
      </c>
      <c r="C2" s="115">
        <v>45662</v>
      </c>
      <c r="D2" s="105"/>
      <c r="E2" s="208" t="s">
        <v>325</v>
      </c>
      <c r="F2" s="117">
        <v>38.1</v>
      </c>
      <c r="G2" s="133" t="s">
        <v>52</v>
      </c>
      <c r="H2" s="93" t="s">
        <v>51</v>
      </c>
      <c r="I2" s="133" t="s">
        <v>52</v>
      </c>
      <c r="J2" s="118"/>
      <c r="K2" s="119"/>
      <c r="L2" s="120"/>
      <c r="M2" s="105" t="s">
        <v>26</v>
      </c>
      <c r="N2" s="107" t="s">
        <v>53</v>
      </c>
      <c r="O2" s="18">
        <v>13959023</v>
      </c>
      <c r="P2" s="106"/>
    </row>
    <row r="3" spans="1:16">
      <c r="A3" s="111" t="s">
        <v>324</v>
      </c>
      <c r="B3" s="105" t="s">
        <v>15</v>
      </c>
      <c r="C3" s="115">
        <v>45662</v>
      </c>
      <c r="D3" s="116"/>
      <c r="E3" s="209" t="s">
        <v>59</v>
      </c>
      <c r="F3" s="117">
        <v>30</v>
      </c>
      <c r="G3" s="133" t="s">
        <v>52</v>
      </c>
      <c r="H3" s="93" t="s">
        <v>77</v>
      </c>
      <c r="I3" s="133" t="s">
        <v>52</v>
      </c>
      <c r="J3" s="118"/>
      <c r="K3" s="119"/>
      <c r="L3" s="120"/>
      <c r="M3" s="105" t="s">
        <v>26</v>
      </c>
      <c r="N3" s="105" t="s">
        <v>53</v>
      </c>
      <c r="O3" s="18">
        <v>13959023</v>
      </c>
      <c r="P3" s="106"/>
    </row>
    <row r="4" spans="1:16">
      <c r="A4" s="111" t="s">
        <v>324</v>
      </c>
      <c r="B4" s="105" t="s">
        <v>15</v>
      </c>
      <c r="C4" s="115">
        <v>45693</v>
      </c>
      <c r="E4" s="209" t="s">
        <v>307</v>
      </c>
      <c r="F4" s="117">
        <v>13</v>
      </c>
      <c r="G4" s="133" t="s">
        <v>52</v>
      </c>
      <c r="H4" s="93" t="s">
        <v>51</v>
      </c>
      <c r="I4" s="133" t="s">
        <v>326</v>
      </c>
      <c r="N4" s="105" t="s">
        <v>53</v>
      </c>
      <c r="O4" s="18">
        <v>13984811</v>
      </c>
    </row>
    <row r="5" spans="1:16">
      <c r="A5" s="111" t="s">
        <v>324</v>
      </c>
      <c r="B5" s="105" t="s">
        <v>15</v>
      </c>
      <c r="C5" s="115">
        <v>45721</v>
      </c>
      <c r="E5" s="214" t="s">
        <v>309</v>
      </c>
      <c r="F5" s="147">
        <v>194.25</v>
      </c>
      <c r="G5" s="11" t="s">
        <v>21</v>
      </c>
      <c r="H5" s="148" t="s">
        <v>51</v>
      </c>
      <c r="I5" s="11" t="s">
        <v>21</v>
      </c>
      <c r="J5" s="11"/>
      <c r="K5" s="11"/>
      <c r="L5" s="11"/>
      <c r="M5" s="11" t="s">
        <v>26</v>
      </c>
      <c r="N5" s="145" t="s">
        <v>53</v>
      </c>
      <c r="O5" s="215">
        <v>13958575</v>
      </c>
    </row>
    <row r="6" spans="1:16">
      <c r="A6" s="111" t="s">
        <v>324</v>
      </c>
      <c r="B6" s="105" t="s">
        <v>15</v>
      </c>
      <c r="C6" s="115">
        <v>45721</v>
      </c>
      <c r="E6" s="214" t="s">
        <v>309</v>
      </c>
      <c r="F6" s="147">
        <v>44.1</v>
      </c>
      <c r="G6" s="11" t="s">
        <v>21</v>
      </c>
      <c r="H6" s="148" t="s">
        <v>51</v>
      </c>
      <c r="I6" s="11" t="s">
        <v>21</v>
      </c>
      <c r="J6" s="11"/>
      <c r="K6" s="11"/>
      <c r="L6" s="11"/>
      <c r="M6" s="11" t="s">
        <v>26</v>
      </c>
      <c r="N6" s="144" t="s">
        <v>53</v>
      </c>
      <c r="O6" s="215">
        <v>13958431</v>
      </c>
    </row>
    <row r="7" spans="1:16">
      <c r="A7" s="111" t="s">
        <v>324</v>
      </c>
      <c r="B7" s="105" t="s">
        <v>15</v>
      </c>
      <c r="C7" s="115">
        <v>45752</v>
      </c>
      <c r="E7" s="209" t="s">
        <v>98</v>
      </c>
      <c r="F7" s="117">
        <v>72.75</v>
      </c>
      <c r="G7" s="133" t="s">
        <v>52</v>
      </c>
      <c r="H7" s="93" t="s">
        <v>51</v>
      </c>
      <c r="I7" s="133" t="s">
        <v>52</v>
      </c>
      <c r="N7" s="105" t="s">
        <v>53</v>
      </c>
      <c r="O7" s="18">
        <v>13985705</v>
      </c>
    </row>
    <row r="8" spans="1:16">
      <c r="A8" s="111" t="s">
        <v>324</v>
      </c>
      <c r="B8" s="105" t="s">
        <v>15</v>
      </c>
      <c r="C8" s="115">
        <v>45843</v>
      </c>
      <c r="E8" s="209" t="s">
        <v>270</v>
      </c>
      <c r="F8" s="117">
        <v>847.79</v>
      </c>
      <c r="G8" s="133" t="s">
        <v>52</v>
      </c>
      <c r="H8" s="93" t="s">
        <v>51</v>
      </c>
      <c r="I8" s="133" t="s">
        <v>21</v>
      </c>
      <c r="M8" t="s">
        <v>26</v>
      </c>
      <c r="N8" s="105" t="s">
        <v>53</v>
      </c>
      <c r="O8" s="18">
        <v>14006896</v>
      </c>
    </row>
    <row r="9" spans="1:16">
      <c r="A9" s="111" t="s">
        <v>324</v>
      </c>
      <c r="B9" s="105" t="s">
        <v>15</v>
      </c>
      <c r="C9" s="115">
        <v>45966</v>
      </c>
      <c r="E9" s="209" t="s">
        <v>327</v>
      </c>
      <c r="F9" s="117">
        <v>180</v>
      </c>
      <c r="G9" t="s">
        <v>21</v>
      </c>
      <c r="H9" s="93" t="s">
        <v>51</v>
      </c>
      <c r="I9" t="s">
        <v>21</v>
      </c>
      <c r="M9" t="s">
        <v>26</v>
      </c>
      <c r="N9" s="105" t="s">
        <v>53</v>
      </c>
      <c r="O9" s="18">
        <v>14061456</v>
      </c>
    </row>
    <row r="10" spans="1:16">
      <c r="A10" s="111" t="s">
        <v>324</v>
      </c>
      <c r="B10" s="105" t="s">
        <v>15</v>
      </c>
      <c r="C10" s="115">
        <v>45966</v>
      </c>
      <c r="E10" s="209" t="s">
        <v>328</v>
      </c>
      <c r="F10" s="117">
        <v>45.186999999999998</v>
      </c>
      <c r="G10" s="133" t="s">
        <v>298</v>
      </c>
      <c r="H10" s="93" t="s">
        <v>51</v>
      </c>
      <c r="I10" s="133" t="s">
        <v>298</v>
      </c>
      <c r="N10" s="105" t="s">
        <v>53</v>
      </c>
      <c r="O10" s="18">
        <v>14071518</v>
      </c>
    </row>
    <row r="11" spans="1:16">
      <c r="A11" s="111" t="s">
        <v>324</v>
      </c>
      <c r="B11" s="105" t="s">
        <v>15</v>
      </c>
      <c r="C11" s="115">
        <v>45966</v>
      </c>
      <c r="E11" s="209" t="s">
        <v>329</v>
      </c>
      <c r="F11" s="117">
        <v>30</v>
      </c>
      <c r="G11" s="133" t="s">
        <v>28</v>
      </c>
      <c r="H11" s="93" t="s">
        <v>51</v>
      </c>
      <c r="I11" s="133" t="s">
        <v>28</v>
      </c>
      <c r="M11" t="s">
        <v>26</v>
      </c>
      <c r="N11" s="105" t="s">
        <v>53</v>
      </c>
      <c r="O11" s="18">
        <v>14069737</v>
      </c>
    </row>
    <row r="12" spans="1:16">
      <c r="A12" s="111" t="s">
        <v>324</v>
      </c>
      <c r="B12" s="105" t="s">
        <v>15</v>
      </c>
      <c r="C12" s="115">
        <v>45996</v>
      </c>
      <c r="E12" s="162" t="s">
        <v>330</v>
      </c>
      <c r="F12" s="117">
        <v>21</v>
      </c>
      <c r="G12" s="133" t="s">
        <v>52</v>
      </c>
      <c r="H12" s="93" t="s">
        <v>51</v>
      </c>
      <c r="I12" s="133" t="s">
        <v>52</v>
      </c>
      <c r="N12" s="105" t="s">
        <v>53</v>
      </c>
      <c r="O12" s="139" t="s">
        <v>331</v>
      </c>
    </row>
    <row r="13" spans="1:16" hidden="1">
      <c r="A13" s="111" t="s">
        <v>324</v>
      </c>
      <c r="B13" s="105" t="s">
        <v>15</v>
      </c>
      <c r="C13" s="115" t="s">
        <v>332</v>
      </c>
      <c r="E13" s="209" t="s">
        <v>333</v>
      </c>
      <c r="F13" s="117">
        <v>137.346</v>
      </c>
      <c r="G13" s="133" t="s">
        <v>298</v>
      </c>
      <c r="H13" s="93" t="s">
        <v>51</v>
      </c>
      <c r="I13" s="133" t="s">
        <v>298</v>
      </c>
      <c r="N13" s="105" t="s">
        <v>53</v>
      </c>
      <c r="O13" s="21" t="s">
        <v>334</v>
      </c>
      <c r="P13" s="210"/>
    </row>
    <row r="14" spans="1:16">
      <c r="A14" s="111" t="s">
        <v>324</v>
      </c>
      <c r="B14" s="105" t="s">
        <v>15</v>
      </c>
      <c r="C14" s="115" t="s">
        <v>332</v>
      </c>
      <c r="E14" s="209" t="s">
        <v>328</v>
      </c>
      <c r="F14" s="117">
        <v>142.90600000000001</v>
      </c>
      <c r="G14" s="133" t="s">
        <v>298</v>
      </c>
      <c r="H14" s="93" t="s">
        <v>51</v>
      </c>
      <c r="I14" s="133" t="s">
        <v>298</v>
      </c>
      <c r="N14" s="105" t="s">
        <v>53</v>
      </c>
      <c r="O14" s="18">
        <v>14060339</v>
      </c>
    </row>
    <row r="15" spans="1:16">
      <c r="A15" s="111" t="s">
        <v>324</v>
      </c>
      <c r="B15" s="105" t="s">
        <v>15</v>
      </c>
      <c r="C15" s="115" t="s">
        <v>332</v>
      </c>
      <c r="E15" s="162" t="s">
        <v>330</v>
      </c>
      <c r="F15" s="117">
        <v>63</v>
      </c>
      <c r="G15" s="133" t="s">
        <v>52</v>
      </c>
      <c r="H15" s="93" t="s">
        <v>51</v>
      </c>
      <c r="I15" s="133" t="s">
        <v>52</v>
      </c>
      <c r="N15" s="105" t="s">
        <v>53</v>
      </c>
      <c r="O15" s="17">
        <v>14075142</v>
      </c>
    </row>
    <row r="16" spans="1:16">
      <c r="A16" s="111" t="s">
        <v>324</v>
      </c>
      <c r="B16" s="105"/>
      <c r="C16" s="115" t="s">
        <v>335</v>
      </c>
      <c r="E16" s="209" t="s">
        <v>76</v>
      </c>
      <c r="F16" s="117">
        <v>50</v>
      </c>
      <c r="G16" s="133" t="s">
        <v>52</v>
      </c>
      <c r="H16" s="93" t="s">
        <v>51</v>
      </c>
      <c r="I16" s="133" t="s">
        <v>52</v>
      </c>
      <c r="N16" s="105" t="s">
        <v>53</v>
      </c>
      <c r="O16" s="18">
        <v>14096727</v>
      </c>
    </row>
    <row r="17" spans="1:16">
      <c r="A17" s="111" t="s">
        <v>324</v>
      </c>
      <c r="B17" s="105" t="s">
        <v>15</v>
      </c>
      <c r="C17" s="115" t="s">
        <v>336</v>
      </c>
      <c r="E17" s="162" t="s">
        <v>337</v>
      </c>
      <c r="F17" s="117">
        <v>338.1</v>
      </c>
      <c r="G17" s="133" t="s">
        <v>34</v>
      </c>
      <c r="H17" s="93" t="s">
        <v>51</v>
      </c>
      <c r="I17" s="133" t="s">
        <v>21</v>
      </c>
      <c r="M17" t="s">
        <v>26</v>
      </c>
      <c r="N17" s="105" t="s">
        <v>53</v>
      </c>
      <c r="O17" s="17">
        <v>14108654</v>
      </c>
    </row>
    <row r="18" spans="1:16">
      <c r="A18" s="111" t="s">
        <v>324</v>
      </c>
      <c r="B18" s="105" t="s">
        <v>15</v>
      </c>
      <c r="C18" s="115" t="s">
        <v>338</v>
      </c>
      <c r="E18" s="216" t="s">
        <v>309</v>
      </c>
      <c r="F18" s="147">
        <v>183.75</v>
      </c>
      <c r="G18" s="142" t="s">
        <v>52</v>
      </c>
      <c r="H18" s="148" t="s">
        <v>51</v>
      </c>
      <c r="I18" s="142" t="s">
        <v>52</v>
      </c>
      <c r="J18" s="11"/>
      <c r="K18" s="11"/>
      <c r="L18" s="11"/>
      <c r="M18" s="11" t="s">
        <v>26</v>
      </c>
      <c r="N18" s="144" t="s">
        <v>53</v>
      </c>
      <c r="O18" s="217">
        <v>14109604</v>
      </c>
    </row>
    <row r="19" spans="1:16">
      <c r="A19" s="111" t="s">
        <v>324</v>
      </c>
      <c r="B19" s="105" t="s">
        <v>15</v>
      </c>
      <c r="C19" s="115" t="s">
        <v>339</v>
      </c>
      <c r="E19" s="162" t="s">
        <v>108</v>
      </c>
      <c r="F19" s="117">
        <v>73.5</v>
      </c>
      <c r="G19" s="133" t="s">
        <v>52</v>
      </c>
      <c r="H19" s="93" t="s">
        <v>51</v>
      </c>
      <c r="I19" s="133" t="s">
        <v>52</v>
      </c>
      <c r="N19" s="105" t="s">
        <v>53</v>
      </c>
      <c r="O19" s="18"/>
    </row>
    <row r="20" spans="1:16">
      <c r="A20" s="111" t="s">
        <v>324</v>
      </c>
      <c r="B20" s="105" t="s">
        <v>15</v>
      </c>
      <c r="C20" s="115" t="s">
        <v>339</v>
      </c>
      <c r="E20" s="162" t="s">
        <v>300</v>
      </c>
      <c r="F20" s="117">
        <v>48.27</v>
      </c>
      <c r="G20" s="133" t="s">
        <v>298</v>
      </c>
      <c r="H20" s="218" t="s">
        <v>51</v>
      </c>
      <c r="I20" s="133" t="s">
        <v>298</v>
      </c>
      <c r="N20" s="219" t="s">
        <v>53</v>
      </c>
      <c r="O20" s="18">
        <v>14135521</v>
      </c>
    </row>
    <row r="21" spans="1:16">
      <c r="A21" s="111" t="s">
        <v>324</v>
      </c>
      <c r="B21" s="105" t="s">
        <v>15</v>
      </c>
      <c r="C21" s="115" t="s">
        <v>340</v>
      </c>
      <c r="E21" s="162" t="s">
        <v>330</v>
      </c>
      <c r="F21" s="117">
        <v>64</v>
      </c>
      <c r="G21" t="s">
        <v>21</v>
      </c>
      <c r="H21" s="218" t="s">
        <v>51</v>
      </c>
      <c r="I21" t="s">
        <v>21</v>
      </c>
      <c r="N21" s="219" t="s">
        <v>53</v>
      </c>
      <c r="O21" s="18">
        <v>14144444</v>
      </c>
    </row>
    <row r="22" spans="1:16">
      <c r="A22" s="111" t="s">
        <v>324</v>
      </c>
      <c r="B22" s="105" t="s">
        <v>15</v>
      </c>
      <c r="C22" s="115" t="s">
        <v>341</v>
      </c>
      <c r="E22" s="211" t="s">
        <v>108</v>
      </c>
      <c r="F22" s="133">
        <v>65.625</v>
      </c>
      <c r="G22" s="133" t="s">
        <v>52</v>
      </c>
      <c r="H22" s="93" t="s">
        <v>51</v>
      </c>
      <c r="I22" s="133" t="s">
        <v>52</v>
      </c>
      <c r="N22" s="105" t="s">
        <v>53</v>
      </c>
      <c r="O22" s="18">
        <v>14154363</v>
      </c>
    </row>
    <row r="23" spans="1:16">
      <c r="A23" s="111" t="s">
        <v>324</v>
      </c>
      <c r="B23" s="105" t="s">
        <v>15</v>
      </c>
      <c r="C23" s="25" t="s">
        <v>341</v>
      </c>
      <c r="E23" s="211" t="s">
        <v>342</v>
      </c>
      <c r="F23" s="133">
        <v>47.25</v>
      </c>
      <c r="G23" s="133" t="s">
        <v>52</v>
      </c>
      <c r="H23" s="218" t="s">
        <v>51</v>
      </c>
      <c r="I23" s="133" t="s">
        <v>52</v>
      </c>
      <c r="M23" t="s">
        <v>26</v>
      </c>
      <c r="N23" s="219" t="s">
        <v>53</v>
      </c>
      <c r="O23" s="18">
        <v>14156599</v>
      </c>
    </row>
    <row r="24" spans="1:16">
      <c r="A24" s="111" t="s">
        <v>324</v>
      </c>
      <c r="B24" s="105" t="s">
        <v>15</v>
      </c>
      <c r="C24" s="25" t="s">
        <v>343</v>
      </c>
      <c r="E24" s="211" t="s">
        <v>302</v>
      </c>
      <c r="F24" s="133">
        <v>352.8</v>
      </c>
      <c r="G24" t="s">
        <v>21</v>
      </c>
      <c r="H24" s="218" t="s">
        <v>51</v>
      </c>
      <c r="I24" t="s">
        <v>21</v>
      </c>
      <c r="N24" s="219" t="s">
        <v>53</v>
      </c>
      <c r="O24" s="18">
        <v>14167191</v>
      </c>
    </row>
    <row r="25" spans="1:16">
      <c r="A25" s="111" t="s">
        <v>324</v>
      </c>
      <c r="B25" s="105" t="s">
        <v>15</v>
      </c>
      <c r="C25" s="115" t="s">
        <v>343</v>
      </c>
      <c r="E25" s="211" t="s">
        <v>344</v>
      </c>
      <c r="F25" s="133">
        <v>257.25</v>
      </c>
      <c r="G25" t="s">
        <v>21</v>
      </c>
      <c r="H25" s="93" t="s">
        <v>51</v>
      </c>
      <c r="I25" t="s">
        <v>21</v>
      </c>
      <c r="N25" s="219" t="s">
        <v>53</v>
      </c>
      <c r="O25" s="18">
        <v>14167120</v>
      </c>
    </row>
    <row r="26" spans="1:16">
      <c r="A26" s="111" t="s">
        <v>324</v>
      </c>
      <c r="B26" s="105" t="s">
        <v>15</v>
      </c>
      <c r="C26" s="220" t="s">
        <v>343</v>
      </c>
      <c r="E26" s="211" t="s">
        <v>28</v>
      </c>
      <c r="F26" s="133">
        <v>15</v>
      </c>
      <c r="G26" t="s">
        <v>28</v>
      </c>
      <c r="H26" s="93" t="s">
        <v>51</v>
      </c>
      <c r="I26" t="s">
        <v>28</v>
      </c>
      <c r="M26" t="s">
        <v>26</v>
      </c>
      <c r="N26" s="105" t="s">
        <v>53</v>
      </c>
      <c r="O26" s="18">
        <v>14164373</v>
      </c>
    </row>
    <row r="27" spans="1:16">
      <c r="A27" s="111" t="s">
        <v>324</v>
      </c>
      <c r="B27" s="105" t="s">
        <v>15</v>
      </c>
      <c r="C27" s="25" t="s">
        <v>343</v>
      </c>
      <c r="E27" s="211" t="s">
        <v>344</v>
      </c>
      <c r="F27" s="133">
        <v>31.5</v>
      </c>
      <c r="G27" t="s">
        <v>21</v>
      </c>
      <c r="H27" s="218" t="s">
        <v>51</v>
      </c>
      <c r="I27" t="s">
        <v>21</v>
      </c>
      <c r="N27" s="219" t="s">
        <v>53</v>
      </c>
      <c r="O27" s="18">
        <v>14219015</v>
      </c>
      <c r="P27" s="20"/>
    </row>
    <row r="28" spans="1:16">
      <c r="A28" s="111" t="s">
        <v>324</v>
      </c>
      <c r="B28" s="105" t="s">
        <v>15</v>
      </c>
      <c r="C28" s="25" t="s">
        <v>345</v>
      </c>
      <c r="E28" s="162" t="s">
        <v>346</v>
      </c>
      <c r="F28" s="133">
        <v>231</v>
      </c>
      <c r="G28" t="s">
        <v>21</v>
      </c>
      <c r="H28" s="218" t="s">
        <v>51</v>
      </c>
      <c r="I28" t="s">
        <v>21</v>
      </c>
      <c r="M28" t="s">
        <v>26</v>
      </c>
      <c r="N28" s="219" t="s">
        <v>53</v>
      </c>
      <c r="O28" s="18">
        <v>14207750</v>
      </c>
      <c r="P28" s="20"/>
    </row>
    <row r="29" spans="1:16">
      <c r="A29" s="111" t="s">
        <v>324</v>
      </c>
      <c r="B29" s="105" t="s">
        <v>15</v>
      </c>
      <c r="C29" s="25" t="s">
        <v>345</v>
      </c>
      <c r="E29" s="211" t="s">
        <v>76</v>
      </c>
      <c r="F29" s="133">
        <v>29.625</v>
      </c>
      <c r="G29" s="133" t="s">
        <v>52</v>
      </c>
      <c r="H29" s="93" t="s">
        <v>51</v>
      </c>
      <c r="I29" s="133" t="s">
        <v>52</v>
      </c>
      <c r="N29" s="219" t="s">
        <v>53</v>
      </c>
      <c r="O29" s="18">
        <v>14207443</v>
      </c>
      <c r="P29" s="20"/>
    </row>
    <row r="30" spans="1:16">
      <c r="A30" s="111" t="s">
        <v>324</v>
      </c>
      <c r="B30" s="105" t="s">
        <v>15</v>
      </c>
      <c r="C30" s="25" t="s">
        <v>345</v>
      </c>
      <c r="E30" s="211" t="s">
        <v>302</v>
      </c>
      <c r="F30" s="133">
        <v>251.8</v>
      </c>
      <c r="G30" s="133" t="s">
        <v>34</v>
      </c>
      <c r="H30" s="93" t="s">
        <v>51</v>
      </c>
      <c r="I30" s="133" t="s">
        <v>347</v>
      </c>
      <c r="M30" t="s">
        <v>26</v>
      </c>
      <c r="N30" s="219" t="s">
        <v>53</v>
      </c>
      <c r="O30" s="21" t="s">
        <v>348</v>
      </c>
      <c r="P30" s="20"/>
    </row>
    <row r="31" spans="1:16">
      <c r="A31" s="111" t="s">
        <v>324</v>
      </c>
      <c r="B31" s="105" t="s">
        <v>15</v>
      </c>
      <c r="C31" s="115" t="s">
        <v>349</v>
      </c>
      <c r="E31" s="211" t="s">
        <v>330</v>
      </c>
      <c r="F31" s="133">
        <v>103.95</v>
      </c>
      <c r="G31" t="s">
        <v>21</v>
      </c>
      <c r="H31" s="93" t="s">
        <v>51</v>
      </c>
      <c r="I31" t="s">
        <v>21</v>
      </c>
      <c r="N31" s="105" t="s">
        <v>53</v>
      </c>
      <c r="O31" s="18">
        <v>14218345</v>
      </c>
      <c r="P31" s="20"/>
    </row>
    <row r="32" spans="1:16">
      <c r="A32" s="111" t="s">
        <v>324</v>
      </c>
      <c r="B32" s="105" t="s">
        <v>15</v>
      </c>
      <c r="C32" s="115" t="s">
        <v>349</v>
      </c>
      <c r="E32" s="211" t="s">
        <v>350</v>
      </c>
      <c r="F32" s="133">
        <v>30</v>
      </c>
      <c r="G32" s="133" t="s">
        <v>52</v>
      </c>
      <c r="H32" s="93" t="s">
        <v>51</v>
      </c>
      <c r="I32" s="133" t="s">
        <v>52</v>
      </c>
      <c r="M32" t="s">
        <v>320</v>
      </c>
      <c r="N32" s="105" t="s">
        <v>53</v>
      </c>
      <c r="O32" s="18">
        <v>14222768</v>
      </c>
      <c r="P32" s="20"/>
    </row>
    <row r="33" spans="1:16">
      <c r="A33" s="111" t="s">
        <v>324</v>
      </c>
      <c r="B33" s="105" t="s">
        <v>15</v>
      </c>
      <c r="C33" s="25" t="s">
        <v>349</v>
      </c>
      <c r="E33" s="211" t="s">
        <v>299</v>
      </c>
      <c r="F33" s="133">
        <v>119.556</v>
      </c>
      <c r="G33" s="133" t="s">
        <v>298</v>
      </c>
      <c r="H33" s="93" t="s">
        <v>51</v>
      </c>
      <c r="I33" s="133" t="s">
        <v>298</v>
      </c>
      <c r="N33" s="219" t="s">
        <v>53</v>
      </c>
      <c r="O33" s="18">
        <v>14218232</v>
      </c>
      <c r="P33" s="20"/>
    </row>
    <row r="34" spans="1:16">
      <c r="A34" s="111" t="s">
        <v>324</v>
      </c>
      <c r="B34" s="105" t="s">
        <v>15</v>
      </c>
      <c r="C34" s="25" t="s">
        <v>349</v>
      </c>
      <c r="E34" s="211" t="s">
        <v>300</v>
      </c>
      <c r="F34" s="133">
        <v>23.004000000000001</v>
      </c>
      <c r="G34" s="133" t="s">
        <v>298</v>
      </c>
      <c r="H34" s="93" t="s">
        <v>51</v>
      </c>
      <c r="I34" s="133" t="s">
        <v>298</v>
      </c>
      <c r="N34" s="219" t="s">
        <v>53</v>
      </c>
      <c r="O34" s="18">
        <v>14218453</v>
      </c>
    </row>
    <row r="35" spans="1:16">
      <c r="A35" s="111" t="s">
        <v>324</v>
      </c>
      <c r="B35" s="105" t="s">
        <v>15</v>
      </c>
      <c r="C35" s="25" t="s">
        <v>351</v>
      </c>
      <c r="E35" s="211" t="s">
        <v>352</v>
      </c>
      <c r="F35" s="133">
        <v>6204.03</v>
      </c>
      <c r="G35" s="133" t="s">
        <v>52</v>
      </c>
      <c r="H35" s="93" t="s">
        <v>77</v>
      </c>
      <c r="I35" s="133" t="s">
        <v>52</v>
      </c>
      <c r="N35" s="219" t="s">
        <v>53</v>
      </c>
      <c r="O35" s="18">
        <v>14219057</v>
      </c>
      <c r="P35" s="20"/>
    </row>
    <row r="36" spans="1:16">
      <c r="A36" s="111" t="s">
        <v>324</v>
      </c>
      <c r="B36" s="105" t="s">
        <v>15</v>
      </c>
      <c r="C36" s="25" t="s">
        <v>351</v>
      </c>
      <c r="E36" s="211" t="s">
        <v>330</v>
      </c>
      <c r="F36" s="133">
        <v>64.05</v>
      </c>
      <c r="G36" t="s">
        <v>21</v>
      </c>
      <c r="H36" s="93" t="s">
        <v>51</v>
      </c>
      <c r="I36" t="s">
        <v>21</v>
      </c>
      <c r="N36" s="219" t="s">
        <v>53</v>
      </c>
      <c r="O36" s="18">
        <v>14220264</v>
      </c>
      <c r="P36" s="20"/>
    </row>
    <row r="37" spans="1:16">
      <c r="A37" s="111" t="s">
        <v>324</v>
      </c>
      <c r="B37" s="105" t="s">
        <v>15</v>
      </c>
      <c r="C37" s="25" t="s">
        <v>351</v>
      </c>
      <c r="E37" s="211" t="s">
        <v>350</v>
      </c>
      <c r="F37" s="133">
        <v>30</v>
      </c>
      <c r="G37" s="133" t="s">
        <v>52</v>
      </c>
      <c r="H37" s="93" t="s">
        <v>51</v>
      </c>
      <c r="I37" s="133" t="s">
        <v>52</v>
      </c>
      <c r="M37" t="s">
        <v>320</v>
      </c>
      <c r="N37" s="219" t="s">
        <v>53</v>
      </c>
      <c r="O37" s="18">
        <v>14235785</v>
      </c>
      <c r="P37" s="20"/>
    </row>
    <row r="38" spans="1:16">
      <c r="A38" s="111" t="s">
        <v>324</v>
      </c>
      <c r="B38" s="105" t="s">
        <v>15</v>
      </c>
      <c r="C38" s="25" t="s">
        <v>353</v>
      </c>
      <c r="E38" s="211" t="s">
        <v>354</v>
      </c>
      <c r="F38" s="133">
        <v>1049.4570000000001</v>
      </c>
      <c r="G38" t="s">
        <v>21</v>
      </c>
      <c r="H38" s="93" t="s">
        <v>51</v>
      </c>
      <c r="I38" t="s">
        <v>21</v>
      </c>
      <c r="M38" t="s">
        <v>26</v>
      </c>
      <c r="N38" s="219" t="s">
        <v>53</v>
      </c>
      <c r="O38" s="18">
        <v>14244813</v>
      </c>
      <c r="P38" s="20"/>
    </row>
    <row r="39" spans="1:16">
      <c r="A39" s="111" t="s">
        <v>324</v>
      </c>
      <c r="B39" s="105" t="s">
        <v>15</v>
      </c>
      <c r="C39" s="25" t="s">
        <v>353</v>
      </c>
      <c r="E39" s="211" t="s">
        <v>330</v>
      </c>
      <c r="F39" s="133">
        <v>88.2</v>
      </c>
      <c r="G39" t="s">
        <v>21</v>
      </c>
      <c r="H39" s="93" t="s">
        <v>51</v>
      </c>
      <c r="I39" t="s">
        <v>21</v>
      </c>
      <c r="N39" s="219" t="s">
        <v>53</v>
      </c>
      <c r="O39" s="18">
        <v>14236387</v>
      </c>
      <c r="P39" s="20"/>
    </row>
    <row r="40" spans="1:16">
      <c r="A40" s="111" t="s">
        <v>324</v>
      </c>
      <c r="B40" s="105" t="s">
        <v>15</v>
      </c>
      <c r="C40" s="25" t="s">
        <v>353</v>
      </c>
      <c r="E40" s="211" t="s">
        <v>67</v>
      </c>
      <c r="F40" s="133">
        <v>123.99</v>
      </c>
      <c r="G40" t="s">
        <v>28</v>
      </c>
      <c r="H40" s="93" t="s">
        <v>51</v>
      </c>
      <c r="I40" t="s">
        <v>28</v>
      </c>
      <c r="M40" t="s">
        <v>26</v>
      </c>
      <c r="N40" s="219" t="s">
        <v>53</v>
      </c>
      <c r="O40" s="18">
        <v>14248099</v>
      </c>
      <c r="P40" s="20"/>
    </row>
    <row r="41" spans="1:16">
      <c r="A41" s="111" t="s">
        <v>324</v>
      </c>
      <c r="B41" s="105" t="s">
        <v>15</v>
      </c>
      <c r="C41" s="25" t="s">
        <v>355</v>
      </c>
      <c r="E41" s="211" t="s">
        <v>274</v>
      </c>
      <c r="F41" s="133">
        <v>1750.875</v>
      </c>
      <c r="G41" s="133" t="s">
        <v>52</v>
      </c>
      <c r="H41" s="93" t="s">
        <v>77</v>
      </c>
      <c r="I41" s="133" t="s">
        <v>52</v>
      </c>
      <c r="N41" s="219" t="s">
        <v>53</v>
      </c>
      <c r="O41" s="18">
        <v>14244618</v>
      </c>
      <c r="P41" s="20"/>
    </row>
    <row r="42" spans="1:16">
      <c r="A42" s="111" t="s">
        <v>324</v>
      </c>
      <c r="B42" s="105" t="s">
        <v>15</v>
      </c>
      <c r="C42" s="115" t="s">
        <v>356</v>
      </c>
      <c r="E42" s="211" t="s">
        <v>300</v>
      </c>
      <c r="F42" s="133">
        <v>29.667999999999999</v>
      </c>
      <c r="G42" s="133" t="s">
        <v>298</v>
      </c>
      <c r="H42" s="93" t="s">
        <v>51</v>
      </c>
      <c r="I42" s="133" t="s">
        <v>298</v>
      </c>
      <c r="N42" s="219" t="s">
        <v>53</v>
      </c>
      <c r="O42" s="17">
        <v>14269248</v>
      </c>
    </row>
    <row r="43" spans="1:16" ht="15" thickBot="1">
      <c r="A43" s="111" t="s">
        <v>324</v>
      </c>
      <c r="B43" s="105" t="s">
        <v>15</v>
      </c>
      <c r="C43" s="115" t="s">
        <v>357</v>
      </c>
      <c r="E43" s="211" t="s">
        <v>299</v>
      </c>
      <c r="F43" s="133">
        <v>29.577000000000002</v>
      </c>
      <c r="G43" s="133" t="s">
        <v>298</v>
      </c>
      <c r="H43" s="93" t="s">
        <v>51</v>
      </c>
      <c r="I43" s="133" t="s">
        <v>298</v>
      </c>
      <c r="N43" s="219" t="s">
        <v>53</v>
      </c>
      <c r="O43" s="18">
        <v>14263195</v>
      </c>
      <c r="P43" s="20"/>
    </row>
    <row r="44" spans="1:16" ht="28.2" customHeight="1" thickTop="1">
      <c r="A44" s="181" t="s">
        <v>82</v>
      </c>
      <c r="B44" s="182"/>
      <c r="C44" s="183"/>
      <c r="D44" s="182"/>
      <c r="E44" s="182"/>
      <c r="F44" s="184">
        <f>SUM(F2:F43)</f>
        <v>13545.255999999998</v>
      </c>
      <c r="G44" s="184"/>
      <c r="H44" s="184"/>
      <c r="I44" s="182"/>
      <c r="J44" s="184"/>
      <c r="K44" s="185"/>
      <c r="L44" s="184"/>
      <c r="M44" s="182"/>
      <c r="N44" s="182"/>
      <c r="O44" s="182"/>
      <c r="P44" s="186"/>
    </row>
  </sheetData>
  <autoFilter ref="C1:P44" xr:uid="{9F248B8A-A13F-47B6-B5FE-2F51D055FAE9}">
    <filterColumn colId="3">
      <filters>
        <filter val="OMR 1,049.46"/>
        <filter val="OMR 1,750.88"/>
        <filter val="OMR 103.95"/>
        <filter val="OMR 119.56"/>
        <filter val="OMR 123.99"/>
        <filter val="OMR 13,545.26"/>
        <filter val="OMR 13.00"/>
        <filter val="OMR 142.91"/>
        <filter val="OMR 15.00"/>
        <filter val="OMR 180.00"/>
        <filter val="OMR 183.75"/>
        <filter val="OMR 194.25"/>
        <filter val="OMR 21.00"/>
        <filter val="OMR 23.00"/>
        <filter val="OMR 231.00"/>
        <filter val="OMR 251.80"/>
        <filter val="OMR 257.25"/>
        <filter val="OMR 29.58"/>
        <filter val="OMR 29.63"/>
        <filter val="OMR 29.67"/>
        <filter val="OMR 30.00"/>
        <filter val="OMR 31.50"/>
        <filter val="OMR 338.10"/>
        <filter val="OMR 352.80"/>
        <filter val="OMR 38.10"/>
        <filter val="OMR 44.10"/>
        <filter val="OMR 45.19"/>
        <filter val="OMR 47.25"/>
        <filter val="OMR 48.27"/>
        <filter val="OMR 50.00"/>
        <filter val="OMR 6,204.03"/>
        <filter val="OMR 63.00"/>
        <filter val="OMR 64.00"/>
        <filter val="OMR 64.05"/>
        <filter val="OMR 65.63"/>
        <filter val="OMR 72.75"/>
        <filter val="OMR 73.50"/>
        <filter val="OMR 847.79"/>
        <filter val="OMR 88.20"/>
      </filters>
    </filterColumn>
    <sortState xmlns:xlrd2="http://schemas.microsoft.com/office/spreadsheetml/2017/richdata2" ref="C7:P29">
      <sortCondition ref="C1:C44"/>
    </sortState>
  </autoFilter>
  <hyperlinks>
    <hyperlink ref="O3" r:id="rId1" display="https://hub.floward.io/order/13959023" xr:uid="{CEA867BA-854F-4242-88BD-C0A28BCABB24}"/>
    <hyperlink ref="O2" r:id="rId2" display="https://hub.floward.io/order/13959023" xr:uid="{1250E97D-310F-4631-8164-B58734EA4CC6}"/>
    <hyperlink ref="O5" r:id="rId3" display="https://hub.floward.io/order/13958575" xr:uid="{D6699384-369A-48A1-821B-B1ACE688DFCA}"/>
    <hyperlink ref="O6" r:id="rId4" display="https://hub.floward.io/order/13958431" xr:uid="{65E2B845-69FD-4088-9AFF-BB2CD13D4FC9}"/>
    <hyperlink ref="O7" r:id="rId5" display="https://hub.floward.io/order/13985705" xr:uid="{44BD0C38-2FA3-4FA9-84FD-50C9CC3C565D}"/>
    <hyperlink ref="O8" r:id="rId6" display="https://hub.floward.io/order/14006896" xr:uid="{1403AD13-BF9F-4C76-B875-3CA0C1F938C0}"/>
    <hyperlink ref="O4" r:id="rId7" display="https://hub.floward.io/order/13984811" xr:uid="{0C5B1EE2-71F7-44BF-A487-2E2F380B4146}"/>
    <hyperlink ref="O9" r:id="rId8" display="https://hub.floward.io/order/14061456" xr:uid="{F76E4B00-1B97-44FD-8C1D-4E3F4721757D}"/>
    <hyperlink ref="O14" r:id="rId9" display="https://hub.floward.io/order/14060339" xr:uid="{71F97014-2D6A-4720-AA7C-F480F05E2D1F}"/>
    <hyperlink ref="O10" r:id="rId10" display="https://hub.floward.io/order/14071518" xr:uid="{B6FC8686-EDD8-4893-885F-0652A4A97F71}"/>
    <hyperlink ref="O11" r:id="rId11" display="https://hub.floward.io/order/14069737" xr:uid="{B3AD33ED-5D6F-4D7D-BDBD-AD0FDF6AFF89}"/>
    <hyperlink ref="O16" r:id="rId12" display="https://hub.floward.io/order/14096727" xr:uid="{B6FAA843-A6E8-47A8-87C1-D4DEAF766E7D}"/>
    <hyperlink ref="O21" r:id="rId13" display="https://hub.floward.io/order/14144444" xr:uid="{48E32262-F381-46CE-9557-E6B1C85CFD16}"/>
    <hyperlink ref="O23" r:id="rId14" display="https://hub.floward.io/order/14156599" xr:uid="{9D54B261-5F8A-4AD0-BEC0-CBE93E3C703D}"/>
    <hyperlink ref="O22" r:id="rId15" display="https://hub.floward.io/order/14154363" xr:uid="{7A16D025-5624-4B01-832D-55290F2682D6}"/>
    <hyperlink ref="O26" r:id="rId16" display="https://hub.floward.io/order/14164373" xr:uid="{B6FD7F1E-007F-4F70-82FA-43C7C1457C87}"/>
    <hyperlink ref="O24" r:id="rId17" display="https://hub.floward.io/order/14167191" xr:uid="{FE0DBF28-7DEF-4030-B905-0398A93AF194}"/>
    <hyperlink ref="O25" r:id="rId18" display="https://hub.floward.io/order/14167120" xr:uid="{CED46454-A799-485A-A501-E9FB72F31EB2}"/>
    <hyperlink ref="O28" r:id="rId19" display="https://hub.floward.io/order/14207750" xr:uid="{D402D56A-89F8-4DCC-BC98-6C5CF73853BC}"/>
    <hyperlink ref="O29" r:id="rId20" display="https://hub.floward.io/order/14207443" xr:uid="{3B3F3839-3491-4AED-BD0E-06C2138596C7}"/>
    <hyperlink ref="O27" r:id="rId21" display="https://hub.floward.io/order/14219015" xr:uid="{F5CA1AA3-C8F1-4BC7-999B-3C407E739CD9}"/>
    <hyperlink ref="O31" r:id="rId22" display="https://hub.floward.io/order/14220264" xr:uid="{8718A56E-2F1E-4AE4-A388-1C0780071A86}"/>
    <hyperlink ref="O36" r:id="rId23" display="https://hub.floward.io/order/14220264" xr:uid="{5177EDEE-8267-4CB0-849B-791419EE1E97}"/>
    <hyperlink ref="O35" r:id="rId24" display="https://hub.floward.io/order/14219057" xr:uid="{CA094FCB-2C45-4CF0-9BE8-673E3D2B506C}"/>
    <hyperlink ref="O39" r:id="rId25" display="https://hub.floward.io/order/14236387" xr:uid="{EA41EA06-69F2-4BC9-A624-D357A6C3648F}"/>
    <hyperlink ref="O37" r:id="rId26" display="https://hub.floward.io/order/14235785" xr:uid="{425F7AAA-AB5D-4444-B237-9D0F9CBD92EF}"/>
    <hyperlink ref="O32" r:id="rId27" display="https://hub.floward.io/order/14222768" xr:uid="{DED7B3DF-FE71-42EE-AA8D-A71B0A2A07E9}"/>
    <hyperlink ref="O33" r:id="rId28" display="https://hub.floward.io/order/14218232" xr:uid="{A78696CB-E7CC-4360-A3D2-49EC83478B4D}"/>
    <hyperlink ref="O38" r:id="rId29" display="https://hub.floward.io/order/14244813" xr:uid="{E823BCF3-13C8-4CF2-A35C-39178376D417}"/>
    <hyperlink ref="O40" r:id="rId30" display="https://hub.floward.io/order/14248099" xr:uid="{5BC73373-3FCF-4794-8EED-A01E686165D4}"/>
    <hyperlink ref="O41" r:id="rId31" display="https://hub.floward.io/order/14244618" xr:uid="{C15E174E-0E78-43A5-918C-B0D0AE50148C}"/>
    <hyperlink ref="O43" r:id="rId32" display="https://hub.floward.io/order/14263195" xr:uid="{1C6151D2-497E-4BFE-A3F8-18D0DE9447D2}"/>
    <hyperlink ref="O34" r:id="rId33" display="https://hub.floward.io/order/14218453" xr:uid="{9BB3D4F8-F592-4B0C-B975-8821FEBC580C}"/>
    <hyperlink ref="O20" r:id="rId34" display="https://hub.floward.io/order/14135521" xr:uid="{262417C8-E542-4CE6-A7A5-CF18A65AC57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522AD-4C72-4596-A200-E0AF5F00FA2E}">
  <sheetPr filterMode="1"/>
  <dimension ref="A1:P48"/>
  <sheetViews>
    <sheetView workbookViewId="0">
      <selection activeCell="N17" sqref="N17"/>
    </sheetView>
  </sheetViews>
  <sheetFormatPr defaultRowHeight="14.4"/>
  <cols>
    <col min="1" max="1" width="13.6640625" customWidth="1"/>
    <col min="2" max="2" width="13" customWidth="1"/>
    <col min="3" max="3" width="12.6640625" customWidth="1"/>
    <col min="4" max="4" width="29.88671875" customWidth="1"/>
    <col min="5" max="5" width="14.88671875" customWidth="1"/>
    <col min="6" max="6" width="13.33203125" customWidth="1"/>
    <col min="7" max="7" width="15.5546875" customWidth="1"/>
    <col min="8" max="8" width="12.33203125" customWidth="1"/>
    <col min="9" max="9" width="12.5546875" customWidth="1"/>
    <col min="10" max="10" width="11.88671875" customWidth="1"/>
    <col min="11" max="11" width="10.88671875" customWidth="1"/>
    <col min="12" max="12" width="14.44140625" bestFit="1" customWidth="1"/>
    <col min="13" max="13" width="10.33203125" customWidth="1"/>
    <col min="14" max="15" width="14.44140625" customWidth="1"/>
    <col min="16" max="16" width="9.6640625" customWidth="1"/>
  </cols>
  <sheetData>
    <row r="1" spans="1:16">
      <c r="A1" s="207" t="s">
        <v>1</v>
      </c>
      <c r="B1" s="113" t="s">
        <v>2</v>
      </c>
      <c r="C1" s="109" t="s">
        <v>3</v>
      </c>
      <c r="D1" s="207" t="s">
        <v>4</v>
      </c>
      <c r="E1" s="109" t="s">
        <v>5</v>
      </c>
      <c r="F1" s="109" t="s">
        <v>47</v>
      </c>
      <c r="G1" s="109" t="s">
        <v>6</v>
      </c>
      <c r="H1" s="109" t="s">
        <v>7</v>
      </c>
      <c r="I1" s="109" t="s">
        <v>8</v>
      </c>
      <c r="J1" s="114" t="s">
        <v>9</v>
      </c>
      <c r="K1" s="114" t="s">
        <v>10</v>
      </c>
      <c r="L1" s="109" t="s">
        <v>11</v>
      </c>
      <c r="M1" s="109" t="s">
        <v>48</v>
      </c>
      <c r="N1" s="109" t="s">
        <v>12</v>
      </c>
    </row>
    <row r="2" spans="1:16" hidden="1">
      <c r="A2" s="167" t="s">
        <v>15</v>
      </c>
      <c r="B2" s="25">
        <v>45663</v>
      </c>
      <c r="D2" s="211" t="s">
        <v>358</v>
      </c>
      <c r="E2" s="133">
        <v>1260</v>
      </c>
      <c r="F2" s="133" t="s">
        <v>52</v>
      </c>
      <c r="G2" s="93" t="s">
        <v>359</v>
      </c>
      <c r="H2" s="133" t="s">
        <v>52</v>
      </c>
      <c r="M2" s="219" t="s">
        <v>53</v>
      </c>
      <c r="N2" s="18">
        <v>14290048</v>
      </c>
      <c r="O2" s="8">
        <v>14324265</v>
      </c>
    </row>
    <row r="3" spans="1:16" hidden="1">
      <c r="A3" s="167" t="s">
        <v>15</v>
      </c>
      <c r="B3" s="25">
        <v>45663</v>
      </c>
      <c r="D3" s="211" t="s">
        <v>76</v>
      </c>
      <c r="E3" s="133">
        <v>1916.25</v>
      </c>
      <c r="F3" s="133" t="s">
        <v>52</v>
      </c>
      <c r="G3" s="93" t="s">
        <v>360</v>
      </c>
      <c r="H3" s="133" t="s">
        <v>52</v>
      </c>
      <c r="M3" s="219" t="s">
        <v>53</v>
      </c>
      <c r="N3" s="18">
        <v>14298600</v>
      </c>
    </row>
    <row r="4" spans="1:16" hidden="1">
      <c r="A4" s="167" t="s">
        <v>15</v>
      </c>
      <c r="B4" s="25">
        <v>45663</v>
      </c>
      <c r="D4" s="211" t="s">
        <v>288</v>
      </c>
      <c r="E4" s="133">
        <v>24</v>
      </c>
      <c r="F4" s="133" t="s">
        <v>52</v>
      </c>
      <c r="G4" s="93" t="s">
        <v>361</v>
      </c>
      <c r="H4" s="133" t="s">
        <v>52</v>
      </c>
      <c r="M4" s="219" t="s">
        <v>53</v>
      </c>
      <c r="N4" s="18">
        <v>14298410</v>
      </c>
    </row>
    <row r="5" spans="1:16" hidden="1">
      <c r="A5" s="167" t="s">
        <v>15</v>
      </c>
      <c r="B5" s="25">
        <v>45663</v>
      </c>
      <c r="D5" s="211" t="s">
        <v>307</v>
      </c>
      <c r="E5" s="133">
        <v>6.8250000000000002</v>
      </c>
      <c r="F5" s="133" t="s">
        <v>52</v>
      </c>
      <c r="G5" s="93" t="s">
        <v>361</v>
      </c>
      <c r="H5" s="133" t="s">
        <v>52</v>
      </c>
      <c r="M5" s="219" t="s">
        <v>53</v>
      </c>
      <c r="N5" s="18">
        <v>14310446</v>
      </c>
    </row>
    <row r="6" spans="1:16" hidden="1">
      <c r="A6" s="167" t="s">
        <v>15</v>
      </c>
      <c r="B6" s="25">
        <v>45694</v>
      </c>
      <c r="D6" t="s">
        <v>362</v>
      </c>
      <c r="E6" s="133">
        <v>540.75</v>
      </c>
      <c r="F6" s="133" t="s">
        <v>52</v>
      </c>
      <c r="G6" s="93" t="s">
        <v>359</v>
      </c>
      <c r="H6" s="133" t="s">
        <v>52</v>
      </c>
      <c r="L6" t="s">
        <v>26</v>
      </c>
      <c r="M6" s="219" t="s">
        <v>53</v>
      </c>
      <c r="N6" s="18">
        <v>14298979</v>
      </c>
    </row>
    <row r="7" spans="1:16" hidden="1">
      <c r="A7" s="167" t="s">
        <v>15</v>
      </c>
      <c r="B7" s="25">
        <v>45694</v>
      </c>
      <c r="D7" s="11" t="s">
        <v>363</v>
      </c>
      <c r="E7" s="142">
        <v>100</v>
      </c>
      <c r="F7" s="142" t="s">
        <v>52</v>
      </c>
      <c r="G7" s="148" t="s">
        <v>361</v>
      </c>
      <c r="H7" s="142" t="s">
        <v>52</v>
      </c>
      <c r="I7" s="11"/>
      <c r="J7" s="11"/>
      <c r="K7" s="11"/>
      <c r="L7" s="11"/>
      <c r="M7" s="232" t="s">
        <v>53</v>
      </c>
      <c r="N7" s="215">
        <v>14313172</v>
      </c>
    </row>
    <row r="8" spans="1:16" hidden="1">
      <c r="A8" s="167" t="s">
        <v>15</v>
      </c>
      <c r="B8" s="25">
        <v>45722</v>
      </c>
      <c r="D8" t="s">
        <v>364</v>
      </c>
      <c r="E8" s="133">
        <v>14.5</v>
      </c>
      <c r="F8" t="s">
        <v>28</v>
      </c>
      <c r="G8" s="93" t="s">
        <v>51</v>
      </c>
      <c r="H8" t="s">
        <v>28</v>
      </c>
      <c r="L8" t="s">
        <v>365</v>
      </c>
      <c r="M8" s="219" t="s">
        <v>53</v>
      </c>
      <c r="N8" s="18">
        <v>14324173</v>
      </c>
    </row>
    <row r="9" spans="1:16" hidden="1">
      <c r="A9" s="167" t="s">
        <v>15</v>
      </c>
      <c r="B9" s="25">
        <v>45753</v>
      </c>
      <c r="D9" t="s">
        <v>366</v>
      </c>
      <c r="E9" s="133">
        <v>66.364999999999995</v>
      </c>
      <c r="F9" s="133" t="s">
        <v>298</v>
      </c>
      <c r="G9" s="93" t="s">
        <v>51</v>
      </c>
      <c r="H9" s="133" t="s">
        <v>298</v>
      </c>
      <c r="M9" s="219" t="s">
        <v>53</v>
      </c>
      <c r="N9" s="18">
        <v>14334725</v>
      </c>
    </row>
    <row r="10" spans="1:16" hidden="1">
      <c r="A10" s="167" t="s">
        <v>15</v>
      </c>
      <c r="B10" s="25">
        <v>45753</v>
      </c>
      <c r="D10" s="195" t="s">
        <v>274</v>
      </c>
      <c r="E10" s="193">
        <v>1202.25</v>
      </c>
      <c r="F10" s="193" t="s">
        <v>52</v>
      </c>
      <c r="G10" s="194" t="s">
        <v>359</v>
      </c>
      <c r="H10" s="193" t="s">
        <v>52</v>
      </c>
      <c r="I10" s="195"/>
      <c r="J10" s="195"/>
      <c r="K10" s="195"/>
      <c r="L10" s="195"/>
      <c r="M10" s="221" t="s">
        <v>53</v>
      </c>
      <c r="N10" s="222">
        <v>14324112</v>
      </c>
    </row>
    <row r="11" spans="1:16" hidden="1">
      <c r="A11" s="167" t="s">
        <v>15</v>
      </c>
      <c r="B11" s="25">
        <v>45753</v>
      </c>
      <c r="D11" t="s">
        <v>367</v>
      </c>
      <c r="E11" s="133">
        <v>78.224999999999994</v>
      </c>
      <c r="F11" s="133" t="s">
        <v>52</v>
      </c>
      <c r="G11" s="93" t="s">
        <v>359</v>
      </c>
      <c r="H11" s="133" t="s">
        <v>52</v>
      </c>
      <c r="M11" s="219" t="s">
        <v>53</v>
      </c>
      <c r="N11" s="18">
        <v>14332931</v>
      </c>
    </row>
    <row r="12" spans="1:16" hidden="1">
      <c r="A12" s="167" t="s">
        <v>15</v>
      </c>
      <c r="B12" s="25">
        <v>45753</v>
      </c>
      <c r="D12" t="s">
        <v>368</v>
      </c>
      <c r="E12" s="133">
        <v>16.300999999999998</v>
      </c>
      <c r="F12" s="133" t="s">
        <v>298</v>
      </c>
      <c r="G12" s="93" t="s">
        <v>51</v>
      </c>
      <c r="H12" s="133" t="s">
        <v>298</v>
      </c>
      <c r="M12" s="219" t="s">
        <v>53</v>
      </c>
      <c r="N12" s="18">
        <v>14335796</v>
      </c>
    </row>
    <row r="13" spans="1:16" hidden="1">
      <c r="A13" s="167" t="s">
        <v>15</v>
      </c>
      <c r="B13" s="25">
        <v>45936</v>
      </c>
      <c r="D13" t="s">
        <v>366</v>
      </c>
      <c r="E13" s="133">
        <v>93.344999999999999</v>
      </c>
      <c r="F13" s="133" t="s">
        <v>298</v>
      </c>
      <c r="G13" s="93" t="s">
        <v>51</v>
      </c>
      <c r="H13" s="133" t="s">
        <v>298</v>
      </c>
      <c r="M13" s="219" t="s">
        <v>53</v>
      </c>
      <c r="N13" s="18">
        <v>14418037</v>
      </c>
      <c r="P13" s="8">
        <v>14433126</v>
      </c>
    </row>
    <row r="14" spans="1:16" hidden="1">
      <c r="A14" s="167" t="s">
        <v>15</v>
      </c>
      <c r="B14" s="25">
        <v>45936</v>
      </c>
      <c r="D14" s="211" t="s">
        <v>358</v>
      </c>
      <c r="E14" s="133">
        <v>70.075000000000003</v>
      </c>
      <c r="F14" s="133" t="s">
        <v>52</v>
      </c>
      <c r="G14" s="93" t="s">
        <v>359</v>
      </c>
      <c r="H14" s="133" t="s">
        <v>52</v>
      </c>
      <c r="M14" s="219" t="s">
        <v>53</v>
      </c>
      <c r="N14" s="91">
        <v>14416581</v>
      </c>
    </row>
    <row r="15" spans="1:16" hidden="1">
      <c r="A15" s="167" t="s">
        <v>15</v>
      </c>
      <c r="B15" s="25">
        <v>45936</v>
      </c>
      <c r="D15" s="211" t="s">
        <v>368</v>
      </c>
      <c r="E15" s="133">
        <v>55.424999999999997</v>
      </c>
      <c r="F15" s="133" t="s">
        <v>298</v>
      </c>
      <c r="G15" s="93" t="s">
        <v>51</v>
      </c>
      <c r="H15" s="133" t="s">
        <v>298</v>
      </c>
      <c r="M15" s="219" t="s">
        <v>53</v>
      </c>
      <c r="N15" s="18">
        <v>14418126</v>
      </c>
    </row>
    <row r="16" spans="1:16" hidden="1">
      <c r="A16" s="167" t="s">
        <v>15</v>
      </c>
      <c r="B16" s="25">
        <v>45967</v>
      </c>
      <c r="D16" s="211" t="s">
        <v>369</v>
      </c>
      <c r="E16" s="133">
        <v>76.650000000000006</v>
      </c>
      <c r="F16" s="133" t="s">
        <v>52</v>
      </c>
      <c r="G16" s="93" t="s">
        <v>359</v>
      </c>
      <c r="H16" s="133" t="s">
        <v>52</v>
      </c>
      <c r="M16" s="219" t="s">
        <v>53</v>
      </c>
      <c r="N16" s="18">
        <v>14429591</v>
      </c>
      <c r="P16" s="8">
        <v>14433781</v>
      </c>
    </row>
    <row r="17" spans="1:16">
      <c r="A17" s="167" t="s">
        <v>15</v>
      </c>
      <c r="B17" s="25">
        <v>45967</v>
      </c>
      <c r="D17" s="241" t="s">
        <v>59</v>
      </c>
      <c r="E17" s="133">
        <v>213</v>
      </c>
      <c r="F17" s="133" t="s">
        <v>52</v>
      </c>
      <c r="G17" s="93" t="s">
        <v>359</v>
      </c>
      <c r="H17" s="133" t="s">
        <v>52</v>
      </c>
      <c r="M17" s="219" t="s">
        <v>53</v>
      </c>
      <c r="N17" s="18">
        <v>14432870</v>
      </c>
      <c r="O17" s="8">
        <v>14433062</v>
      </c>
      <c r="P17" s="210" t="s">
        <v>370</v>
      </c>
    </row>
    <row r="18" spans="1:16" hidden="1">
      <c r="A18" s="167" t="s">
        <v>15</v>
      </c>
      <c r="B18" s="25">
        <v>45967</v>
      </c>
      <c r="D18" t="s">
        <v>76</v>
      </c>
      <c r="E18" s="133">
        <v>22.95</v>
      </c>
      <c r="F18" s="133" t="s">
        <v>52</v>
      </c>
      <c r="G18" s="93" t="s">
        <v>361</v>
      </c>
      <c r="H18" s="133" t="s">
        <v>52</v>
      </c>
      <c r="M18" s="219" t="s">
        <v>53</v>
      </c>
      <c r="N18" s="18">
        <v>14433349</v>
      </c>
    </row>
    <row r="19" spans="1:16" hidden="1">
      <c r="A19" s="167" t="s">
        <v>15</v>
      </c>
      <c r="B19" s="25">
        <v>45997</v>
      </c>
      <c r="D19" t="s">
        <v>358</v>
      </c>
      <c r="E19" s="133">
        <v>100</v>
      </c>
      <c r="F19" s="133" t="s">
        <v>52</v>
      </c>
      <c r="G19" s="93" t="s">
        <v>361</v>
      </c>
      <c r="H19" s="133" t="s">
        <v>52</v>
      </c>
      <c r="M19" s="219" t="s">
        <v>53</v>
      </c>
      <c r="N19" s="18">
        <v>14433881</v>
      </c>
      <c r="O19" s="8">
        <v>14433849</v>
      </c>
    </row>
    <row r="20" spans="1:16" hidden="1">
      <c r="A20" s="167" t="s">
        <v>15</v>
      </c>
      <c r="B20" s="25">
        <v>45997</v>
      </c>
      <c r="D20" t="s">
        <v>371</v>
      </c>
      <c r="E20" s="133">
        <v>85</v>
      </c>
      <c r="F20" s="133" t="s">
        <v>52</v>
      </c>
      <c r="G20" s="93" t="s">
        <v>361</v>
      </c>
      <c r="H20" s="133" t="s">
        <v>52</v>
      </c>
      <c r="L20" t="s">
        <v>372</v>
      </c>
      <c r="M20" s="219" t="s">
        <v>53</v>
      </c>
      <c r="N20" s="21">
        <v>14418911</v>
      </c>
      <c r="O20" t="s">
        <v>373</v>
      </c>
    </row>
    <row r="21" spans="1:16" hidden="1">
      <c r="A21" s="167" t="s">
        <v>15</v>
      </c>
      <c r="B21" s="25">
        <v>45997</v>
      </c>
      <c r="D21" t="s">
        <v>374</v>
      </c>
      <c r="E21" s="133">
        <v>38</v>
      </c>
      <c r="F21" s="133" t="s">
        <v>52</v>
      </c>
      <c r="G21" s="93" t="s">
        <v>361</v>
      </c>
      <c r="H21" s="133" t="s">
        <v>52</v>
      </c>
      <c r="L21" t="s">
        <v>26</v>
      </c>
      <c r="M21" s="219" t="s">
        <v>53</v>
      </c>
      <c r="N21" s="18">
        <v>14442000</v>
      </c>
    </row>
    <row r="22" spans="1:16" hidden="1">
      <c r="A22" s="167" t="s">
        <v>15</v>
      </c>
      <c r="B22" s="25">
        <v>45997</v>
      </c>
      <c r="D22" t="s">
        <v>307</v>
      </c>
      <c r="E22" s="133">
        <v>10</v>
      </c>
      <c r="F22" s="133" t="s">
        <v>52</v>
      </c>
      <c r="G22" s="93" t="s">
        <v>361</v>
      </c>
      <c r="H22" s="133" t="s">
        <v>52</v>
      </c>
      <c r="M22" s="219" t="s">
        <v>53</v>
      </c>
      <c r="N22" s="18">
        <v>14444706</v>
      </c>
    </row>
    <row r="23" spans="1:16" hidden="1">
      <c r="A23" s="167" t="s">
        <v>15</v>
      </c>
      <c r="B23" s="25" t="s">
        <v>375</v>
      </c>
      <c r="D23" t="s">
        <v>376</v>
      </c>
      <c r="E23" s="133">
        <v>77.625</v>
      </c>
      <c r="F23" s="133" t="s">
        <v>52</v>
      </c>
      <c r="G23" s="93" t="s">
        <v>361</v>
      </c>
      <c r="H23" s="133" t="s">
        <v>52</v>
      </c>
      <c r="M23" s="219" t="s">
        <v>53</v>
      </c>
      <c r="N23" s="18">
        <v>14460830</v>
      </c>
    </row>
    <row r="24" spans="1:16" hidden="1">
      <c r="A24" s="167" t="s">
        <v>15</v>
      </c>
      <c r="B24" s="25" t="s">
        <v>377</v>
      </c>
      <c r="D24" t="s">
        <v>378</v>
      </c>
      <c r="E24" s="133">
        <v>50</v>
      </c>
      <c r="F24" s="133" t="s">
        <v>52</v>
      </c>
      <c r="G24" s="93" t="s">
        <v>361</v>
      </c>
      <c r="H24" s="133" t="s">
        <v>52</v>
      </c>
      <c r="L24" t="s">
        <v>379</v>
      </c>
      <c r="M24" s="219" t="s">
        <v>53</v>
      </c>
      <c r="N24" s="18">
        <v>14493090</v>
      </c>
    </row>
    <row r="25" spans="1:16" hidden="1">
      <c r="A25" s="167" t="s">
        <v>15</v>
      </c>
      <c r="B25" s="25" t="s">
        <v>377</v>
      </c>
      <c r="D25" t="s">
        <v>369</v>
      </c>
      <c r="E25" s="133">
        <v>271</v>
      </c>
      <c r="F25" s="133" t="s">
        <v>52</v>
      </c>
      <c r="G25" s="93" t="s">
        <v>359</v>
      </c>
      <c r="H25" s="133" t="s">
        <v>52</v>
      </c>
      <c r="M25" s="219" t="s">
        <v>53</v>
      </c>
      <c r="N25" s="18">
        <v>14490970</v>
      </c>
    </row>
    <row r="26" spans="1:16" hidden="1">
      <c r="A26" s="167" t="s">
        <v>15</v>
      </c>
      <c r="B26" s="25" t="s">
        <v>380</v>
      </c>
      <c r="D26" s="211" t="s">
        <v>381</v>
      </c>
      <c r="E26" s="133">
        <v>52.1</v>
      </c>
      <c r="F26" s="133" t="s">
        <v>52</v>
      </c>
      <c r="G26" s="93" t="s">
        <v>361</v>
      </c>
      <c r="H26" s="133" t="s">
        <v>52</v>
      </c>
      <c r="M26" s="219" t="s">
        <v>53</v>
      </c>
      <c r="N26" s="18">
        <v>14504549</v>
      </c>
    </row>
    <row r="27" spans="1:16" hidden="1">
      <c r="A27" s="167" t="s">
        <v>15</v>
      </c>
      <c r="B27" s="25" t="s">
        <v>382</v>
      </c>
      <c r="D27" s="211" t="s">
        <v>352</v>
      </c>
      <c r="E27" s="133">
        <v>1149.4349999999999</v>
      </c>
      <c r="F27" s="133" t="s">
        <v>52</v>
      </c>
      <c r="G27" s="93" t="s">
        <v>359</v>
      </c>
      <c r="H27" s="133" t="s">
        <v>52</v>
      </c>
      <c r="M27" s="219" t="s">
        <v>53</v>
      </c>
      <c r="N27" s="223">
        <v>14515404</v>
      </c>
    </row>
    <row r="28" spans="1:16" hidden="1">
      <c r="A28" s="167" t="s">
        <v>15</v>
      </c>
      <c r="B28" s="25" t="s">
        <v>383</v>
      </c>
      <c r="D28" s="211" t="s">
        <v>369</v>
      </c>
      <c r="E28" s="133">
        <v>397.95</v>
      </c>
      <c r="F28" s="133" t="s">
        <v>52</v>
      </c>
      <c r="G28" s="93" t="s">
        <v>359</v>
      </c>
      <c r="H28" s="133" t="s">
        <v>52</v>
      </c>
      <c r="M28" s="219" t="s">
        <v>53</v>
      </c>
      <c r="N28" s="18">
        <v>14491099</v>
      </c>
    </row>
    <row r="29" spans="1:16" hidden="1">
      <c r="A29" s="167" t="s">
        <v>15</v>
      </c>
      <c r="B29" s="25" t="s">
        <v>383</v>
      </c>
      <c r="D29" t="s">
        <v>369</v>
      </c>
      <c r="E29" s="133">
        <v>242.02500000000001</v>
      </c>
      <c r="F29" s="133" t="s">
        <v>52</v>
      </c>
      <c r="G29" s="93" t="s">
        <v>359</v>
      </c>
      <c r="H29" s="133" t="s">
        <v>52</v>
      </c>
      <c r="M29" s="219" t="s">
        <v>53</v>
      </c>
      <c r="N29" s="18">
        <v>14491038</v>
      </c>
    </row>
    <row r="30" spans="1:16" hidden="1">
      <c r="A30" s="167" t="s">
        <v>15</v>
      </c>
      <c r="B30" s="25" t="s">
        <v>383</v>
      </c>
      <c r="D30" t="s">
        <v>366</v>
      </c>
      <c r="E30" s="133">
        <v>118.383</v>
      </c>
      <c r="F30" s="133" t="s">
        <v>298</v>
      </c>
      <c r="G30" s="93" t="s">
        <v>51</v>
      </c>
      <c r="H30" s="133" t="s">
        <v>298</v>
      </c>
      <c r="M30" s="219" t="s">
        <v>53</v>
      </c>
      <c r="N30" s="18">
        <v>14584420</v>
      </c>
    </row>
    <row r="31" spans="1:16" hidden="1">
      <c r="A31" s="167" t="s">
        <v>15</v>
      </c>
      <c r="B31" s="25" t="s">
        <v>384</v>
      </c>
      <c r="D31" t="s">
        <v>330</v>
      </c>
      <c r="E31" s="133">
        <v>64.5</v>
      </c>
      <c r="F31" s="133" t="s">
        <v>52</v>
      </c>
      <c r="G31" s="93" t="s">
        <v>361</v>
      </c>
      <c r="H31" s="133" t="s">
        <v>52</v>
      </c>
      <c r="M31" s="219" t="s">
        <v>53</v>
      </c>
      <c r="N31" s="18">
        <v>14555896</v>
      </c>
    </row>
    <row r="32" spans="1:16" hidden="1">
      <c r="A32" s="167" t="s">
        <v>15</v>
      </c>
      <c r="B32" s="25" t="s">
        <v>384</v>
      </c>
      <c r="D32" t="s">
        <v>61</v>
      </c>
      <c r="E32" s="133">
        <v>27</v>
      </c>
      <c r="F32" s="133" t="s">
        <v>52</v>
      </c>
      <c r="G32" s="93" t="s">
        <v>361</v>
      </c>
      <c r="H32" s="133" t="s">
        <v>52</v>
      </c>
      <c r="M32" s="219" t="s">
        <v>53</v>
      </c>
      <c r="N32" s="18">
        <v>14547509</v>
      </c>
    </row>
    <row r="33" spans="1:15" hidden="1">
      <c r="A33" s="167" t="s">
        <v>15</v>
      </c>
      <c r="B33" s="25" t="s">
        <v>384</v>
      </c>
      <c r="D33" t="s">
        <v>76</v>
      </c>
      <c r="E33" s="133">
        <v>107.25</v>
      </c>
      <c r="F33" s="133" t="s">
        <v>52</v>
      </c>
      <c r="G33" s="93" t="s">
        <v>361</v>
      </c>
      <c r="H33" s="133" t="s">
        <v>52</v>
      </c>
      <c r="M33" s="219" t="s">
        <v>53</v>
      </c>
      <c r="N33" s="18">
        <v>14526470</v>
      </c>
    </row>
    <row r="34" spans="1:15" hidden="1">
      <c r="A34" s="167" t="s">
        <v>15</v>
      </c>
      <c r="B34" s="25" t="s">
        <v>385</v>
      </c>
      <c r="D34" s="211" t="s">
        <v>330</v>
      </c>
      <c r="E34" s="133">
        <v>37.799999999999997</v>
      </c>
      <c r="F34" s="133" t="s">
        <v>52</v>
      </c>
      <c r="G34" s="93" t="s">
        <v>361</v>
      </c>
      <c r="H34" s="133" t="s">
        <v>52</v>
      </c>
      <c r="M34" s="219" t="s">
        <v>53</v>
      </c>
      <c r="N34" s="18">
        <v>14556265</v>
      </c>
    </row>
    <row r="35" spans="1:15" hidden="1">
      <c r="A35" s="167" t="s">
        <v>15</v>
      </c>
      <c r="B35" s="25" t="s">
        <v>386</v>
      </c>
      <c r="D35" s="211" t="s">
        <v>369</v>
      </c>
      <c r="E35" s="133">
        <v>101.325</v>
      </c>
      <c r="F35" s="133" t="s">
        <v>52</v>
      </c>
      <c r="G35" s="93" t="s">
        <v>359</v>
      </c>
      <c r="H35" s="133" t="s">
        <v>52</v>
      </c>
      <c r="M35" s="219" t="s">
        <v>53</v>
      </c>
      <c r="N35" s="18">
        <v>14566572</v>
      </c>
    </row>
    <row r="36" spans="1:15" hidden="1">
      <c r="A36" s="167" t="s">
        <v>15</v>
      </c>
      <c r="B36" s="25" t="s">
        <v>386</v>
      </c>
      <c r="D36" t="s">
        <v>307</v>
      </c>
      <c r="E36" s="133">
        <v>10</v>
      </c>
      <c r="F36" s="133" t="s">
        <v>52</v>
      </c>
      <c r="G36" s="93" t="s">
        <v>361</v>
      </c>
      <c r="H36" s="133" t="s">
        <v>52</v>
      </c>
      <c r="M36" s="219" t="s">
        <v>53</v>
      </c>
      <c r="N36" s="18">
        <v>14593309</v>
      </c>
    </row>
    <row r="37" spans="1:15" hidden="1">
      <c r="A37" s="167" t="s">
        <v>15</v>
      </c>
      <c r="B37" s="25" t="s">
        <v>386</v>
      </c>
      <c r="D37" s="211" t="s">
        <v>368</v>
      </c>
      <c r="E37" s="133">
        <v>31.247</v>
      </c>
      <c r="F37" s="133" t="s">
        <v>298</v>
      </c>
      <c r="G37" s="93" t="s">
        <v>51</v>
      </c>
      <c r="H37" s="133" t="s">
        <v>298</v>
      </c>
      <c r="M37" s="219" t="s">
        <v>53</v>
      </c>
      <c r="N37" s="18">
        <v>14584652</v>
      </c>
    </row>
    <row r="38" spans="1:15" ht="15" hidden="1" thickBot="1">
      <c r="A38" s="225" t="s">
        <v>15</v>
      </c>
      <c r="B38" s="25" t="s">
        <v>387</v>
      </c>
      <c r="D38" t="s">
        <v>388</v>
      </c>
      <c r="E38" s="224">
        <v>1393.875</v>
      </c>
      <c r="F38" s="133" t="s">
        <v>319</v>
      </c>
      <c r="G38" s="218" t="s">
        <v>389</v>
      </c>
      <c r="H38" s="133" t="s">
        <v>319</v>
      </c>
      <c r="M38" s="219" t="s">
        <v>53</v>
      </c>
      <c r="N38" s="227">
        <v>14645183</v>
      </c>
      <c r="O38" s="226"/>
    </row>
    <row r="39" spans="1:15" hidden="1">
      <c r="B39" s="25" t="s">
        <v>387</v>
      </c>
      <c r="D39" t="s">
        <v>312</v>
      </c>
      <c r="E39" s="133">
        <v>117.627</v>
      </c>
      <c r="F39" s="133" t="s">
        <v>52</v>
      </c>
      <c r="G39" s="93" t="s">
        <v>360</v>
      </c>
      <c r="H39" s="133" t="s">
        <v>52</v>
      </c>
      <c r="M39" s="219" t="s">
        <v>53</v>
      </c>
      <c r="N39" s="18">
        <v>14635820</v>
      </c>
    </row>
    <row r="40" spans="1:15" hidden="1">
      <c r="B40" s="25" t="s">
        <v>390</v>
      </c>
      <c r="D40" t="s">
        <v>67</v>
      </c>
      <c r="E40" s="133">
        <v>170.06700000000001</v>
      </c>
      <c r="F40" t="s">
        <v>28</v>
      </c>
      <c r="G40" s="93" t="s">
        <v>51</v>
      </c>
      <c r="H40" t="s">
        <v>28</v>
      </c>
      <c r="M40" s="219" t="s">
        <v>53</v>
      </c>
      <c r="N40" s="18">
        <v>14635820</v>
      </c>
    </row>
    <row r="41" spans="1:15" hidden="1">
      <c r="B41" s="25" t="s">
        <v>391</v>
      </c>
      <c r="D41" t="s">
        <v>67</v>
      </c>
      <c r="E41" s="133">
        <v>26</v>
      </c>
      <c r="F41" t="s">
        <v>28</v>
      </c>
      <c r="G41" s="93" t="s">
        <v>51</v>
      </c>
      <c r="H41" t="s">
        <v>28</v>
      </c>
      <c r="M41" s="219" t="s">
        <v>53</v>
      </c>
      <c r="N41" s="18">
        <v>14661745</v>
      </c>
    </row>
    <row r="42" spans="1:15" hidden="1">
      <c r="B42" s="25" t="s">
        <v>391</v>
      </c>
      <c r="D42" t="s">
        <v>67</v>
      </c>
      <c r="E42" s="133">
        <v>39</v>
      </c>
      <c r="F42" t="s">
        <v>28</v>
      </c>
      <c r="G42" s="93" t="s">
        <v>51</v>
      </c>
      <c r="H42" t="s">
        <v>28</v>
      </c>
      <c r="M42" s="219" t="s">
        <v>53</v>
      </c>
      <c r="N42" s="18">
        <v>14660075</v>
      </c>
    </row>
    <row r="43" spans="1:15" ht="15" hidden="1" thickBot="1">
      <c r="B43" s="25" t="s">
        <v>391</v>
      </c>
      <c r="D43" t="s">
        <v>67</v>
      </c>
      <c r="E43" s="133">
        <v>66</v>
      </c>
      <c r="F43" t="s">
        <v>28</v>
      </c>
      <c r="G43" s="93" t="s">
        <v>51</v>
      </c>
      <c r="H43" t="s">
        <v>28</v>
      </c>
      <c r="M43" s="219" t="s">
        <v>53</v>
      </c>
      <c r="N43" s="227">
        <v>14657438</v>
      </c>
      <c r="O43" s="226"/>
    </row>
    <row r="44" spans="1:15" hidden="1">
      <c r="B44" s="25" t="s">
        <v>391</v>
      </c>
      <c r="D44" t="s">
        <v>67</v>
      </c>
      <c r="E44" s="133">
        <v>73</v>
      </c>
      <c r="F44" t="s">
        <v>28</v>
      </c>
      <c r="G44" s="93" t="s">
        <v>51</v>
      </c>
      <c r="H44" t="s">
        <v>28</v>
      </c>
      <c r="M44" s="219" t="s">
        <v>53</v>
      </c>
      <c r="N44" s="18">
        <v>14657067</v>
      </c>
    </row>
    <row r="45" spans="1:15" ht="15" hidden="1" thickBot="1">
      <c r="B45" s="25" t="s">
        <v>391</v>
      </c>
      <c r="D45" t="s">
        <v>366</v>
      </c>
      <c r="E45" s="133">
        <v>94.685000000000002</v>
      </c>
      <c r="F45" s="133" t="s">
        <v>298</v>
      </c>
      <c r="G45" s="93" t="s">
        <v>51</v>
      </c>
      <c r="H45" s="133" t="s">
        <v>298</v>
      </c>
      <c r="M45" s="219" t="s">
        <v>53</v>
      </c>
      <c r="N45" s="227">
        <v>14657662</v>
      </c>
      <c r="O45" s="228"/>
    </row>
    <row r="46" spans="1:15" hidden="1">
      <c r="B46" s="25" t="s">
        <v>391</v>
      </c>
      <c r="D46" s="211" t="s">
        <v>307</v>
      </c>
      <c r="E46" s="133">
        <v>10</v>
      </c>
      <c r="F46" s="133" t="s">
        <v>52</v>
      </c>
      <c r="G46" s="93" t="s">
        <v>361</v>
      </c>
      <c r="H46" s="133" t="s">
        <v>52</v>
      </c>
      <c r="M46" s="219" t="s">
        <v>53</v>
      </c>
      <c r="N46" s="18">
        <v>14658710</v>
      </c>
    </row>
    <row r="47" spans="1:15" hidden="1">
      <c r="B47" s="25" t="s">
        <v>391</v>
      </c>
      <c r="D47" t="s">
        <v>368</v>
      </c>
      <c r="E47" s="133">
        <v>36.616999999999997</v>
      </c>
      <c r="F47" s="133" t="s">
        <v>298</v>
      </c>
      <c r="G47" s="93" t="s">
        <v>51</v>
      </c>
      <c r="H47" s="133" t="s">
        <v>298</v>
      </c>
      <c r="M47" s="219" t="s">
        <v>53</v>
      </c>
      <c r="N47" s="18">
        <v>14657881</v>
      </c>
    </row>
    <row r="48" spans="1:15" ht="24" hidden="1" customHeight="1">
      <c r="B48" s="229"/>
      <c r="C48" s="11"/>
      <c r="D48" s="230"/>
      <c r="E48" s="231">
        <f>SUM(E2:E47)</f>
        <v>10754.421999999999</v>
      </c>
      <c r="F48" s="11"/>
      <c r="G48" s="11"/>
      <c r="H48" s="11"/>
      <c r="I48" s="11"/>
      <c r="J48" s="11"/>
      <c r="K48" s="11"/>
      <c r="L48" s="11"/>
      <c r="M48" s="11"/>
      <c r="N48" s="11"/>
    </row>
  </sheetData>
  <autoFilter ref="A1:O48" xr:uid="{DC9522AD-4C72-4596-A200-E0AF5F00FA2E}">
    <filterColumn colId="3">
      <filters>
        <filter val="Ominvest"/>
      </filters>
    </filterColumn>
    <sortState xmlns:xlrd2="http://schemas.microsoft.com/office/spreadsheetml/2017/richdata2" ref="A2:O48">
      <sortCondition ref="B1:B28"/>
    </sortState>
  </autoFilter>
  <hyperlinks>
    <hyperlink ref="N2" r:id="rId1" display="https://hub.floward.io/order/14290048" xr:uid="{D2A9165D-CE33-47EA-BA9E-3F82191CF677}"/>
    <hyperlink ref="N8" r:id="rId2" display="https://hub.floward.io/order/14313172" xr:uid="{0C28B8AD-71CD-409B-8290-65AC5B107966}"/>
    <hyperlink ref="N4" r:id="rId3" display="https://hub.floward.io/order/14298410" xr:uid="{2F68161C-46A4-43EA-B4D7-5675136138DA}"/>
    <hyperlink ref="N7" r:id="rId4" display="https://hub.floward.io/order/14313172" xr:uid="{394657C7-3595-4E02-A925-B5B06B24A9AA}"/>
    <hyperlink ref="N6" r:id="rId5" display="https://hub.floward.io/order/14298979" xr:uid="{F8885096-C58C-4534-8CF7-FFE724FF01DF}"/>
    <hyperlink ref="N9" r:id="rId6" display="https://hub.floward.io/order/14334725" xr:uid="{430592D5-BC97-4819-BD09-70778247B2F3}"/>
    <hyperlink ref="O2" r:id="rId7" display="https://hub.floward.io/order/14324265" xr:uid="{23A79C91-D55F-4994-AC50-77F2C9E1E9C0}"/>
    <hyperlink ref="N11" r:id="rId8" display="https://hub.floward.io/order/14332931" xr:uid="{34F7CBF3-7E3F-4737-AA28-BEBA1BDF84EC}"/>
    <hyperlink ref="N3" r:id="rId9" display="https://hub.floward.io/order/14298600" xr:uid="{127085CC-9EE3-4368-9F11-A447E9EAAF75}"/>
    <hyperlink ref="N10" r:id="rId10" display="https://hub.floward.io/order/14324112" xr:uid="{D218C8A3-EC1D-4156-9DE6-706CB3ADA2AE}"/>
    <hyperlink ref="N13" r:id="rId11" display="https://hub.floward.io/order/14418037" xr:uid="{D31B62A3-1094-45BD-A3C1-D24FC1504EC0}"/>
    <hyperlink ref="N16" r:id="rId12" display="https://hub.floward.io/order/14429591" xr:uid="{CFF3D323-CE10-4791-86D5-F0E80EC39564}"/>
    <hyperlink ref="N17" r:id="rId13" display="https://hub.floward.io/order/14432870" xr:uid="{A75B03D1-5BC4-4166-AD60-E9B9E1F9DB8C}"/>
    <hyperlink ref="O17" r:id="rId14" display="https://hub.floward.io/order/14433062" xr:uid="{669202AB-947C-48D2-985F-987A8F7E8E4F}"/>
    <hyperlink ref="P13" r:id="rId15" display="https://hub.floward.io/order/14433126" xr:uid="{7C502C2D-7956-46EB-8CED-3B8181378ADA}"/>
    <hyperlink ref="N19" r:id="rId16" display="https://hub.floward.io/order/14433881" xr:uid="{68D97891-E650-4C00-9FE0-6C49926CA259}"/>
    <hyperlink ref="O19" r:id="rId17" display="https://hub.floward.io/order/14433849" xr:uid="{4163E7D4-37E9-429E-960D-B0C1886177FF}"/>
    <hyperlink ref="P16" r:id="rId18" display="https://hub.floward.io/order/14433781" xr:uid="{68D12113-1CB7-4701-BCF2-F81689C74697}"/>
    <hyperlink ref="N18" r:id="rId19" display="https://hub.floward.io/order/14433349" xr:uid="{5F3C81CF-D565-4850-B1C3-4F638724E4CD}"/>
    <hyperlink ref="N15" r:id="rId20" display="https://hub.floward.io/order/14418126" xr:uid="{38B5D68A-032A-4792-BC4C-A9444E1BBAA2}"/>
    <hyperlink ref="N12" r:id="rId21" display="https://hub.floward.io/order/14335796" xr:uid="{770E23A8-8A6A-466E-8D92-2B5BB5B1813E}"/>
    <hyperlink ref="N5" r:id="rId22" display="https://hub.floward.io/order/14310446" xr:uid="{0747E229-1B71-44F7-BE02-3E73E4402ED5}"/>
    <hyperlink ref="N21" r:id="rId23" display="https://hub.floward.io/order/14442000" xr:uid="{BBBB6CFB-B10F-4074-BD9E-EA750CB7EB8D}"/>
    <hyperlink ref="N23" r:id="rId24" display="https://hub.floward.io/order/14460830" xr:uid="{649CD0F4-B391-4F79-BFDF-ACDDDCF39119}"/>
    <hyperlink ref="N24" r:id="rId25" display="https://hub.floward.io/order/14493090" xr:uid="{36148680-14A0-45C6-8164-518495471E37}"/>
    <hyperlink ref="N26" r:id="rId26" display="https://hub.floward.io/order/14504549" xr:uid="{77B08192-AC62-4A10-997F-EA48A5F7015C}"/>
    <hyperlink ref="N27" r:id="rId27" display="https://hub.floward.io/order/14515404" xr:uid="{B48C7CB2-81C0-400E-93F6-1A0229AE5BA4}"/>
    <hyperlink ref="N28" r:id="rId28" display="https://hub.floward.io/order/14491099" xr:uid="{4AF90BAB-5ACE-43A2-A3D2-1F1F34307B7C}"/>
    <hyperlink ref="N29" r:id="rId29" display="https://hub.floward.io/order/14491038" xr:uid="{BF3EF783-27C3-4A99-B1C5-60B82135B679}"/>
    <hyperlink ref="N25" r:id="rId30" display="https://hub.floward.io/order/14490970" xr:uid="{E4C16BD5-F42E-4D6A-9355-C084B3B889B9}"/>
    <hyperlink ref="N31" r:id="rId31" display="https://hub.floward.io/order/14555896" xr:uid="{D4296EFE-D836-4BC3-8675-BE497EC443F1}"/>
    <hyperlink ref="N32" r:id="rId32" display="https://hub.floward.io/order/14547509" xr:uid="{C338D086-CD01-4922-B825-DD5C1D590053}"/>
    <hyperlink ref="N33" r:id="rId33" display="https://hub.floward.io/order/14526470" xr:uid="{9808326C-CEBC-4F75-AC36-7D7C08A35AF4}"/>
    <hyperlink ref="N34" r:id="rId34" display="https://hub.floward.io/order/14556265" xr:uid="{385F5E08-B5C5-45F4-BC97-E192D93031B7}"/>
    <hyperlink ref="N30" r:id="rId35" display="https://hub.floward.io/order/14584420" xr:uid="{99329682-4E8B-46D4-85D5-D365AFE474F2}"/>
    <hyperlink ref="N35" r:id="rId36" display="https://hub.floward.io/order/14566572" xr:uid="{A8F2E818-10C3-45D4-B419-29B0C5E49E69}"/>
    <hyperlink ref="N36" r:id="rId37" display="https://hub.floward.io/order/14593309" xr:uid="{3518191F-794E-43C2-A502-8479D71DD396}"/>
    <hyperlink ref="N37" r:id="rId38" display="https://hub.floward.io/order/14584652" xr:uid="{47AA9116-CE84-4850-81C3-7C32109F2529}"/>
    <hyperlink ref="N22" r:id="rId39" display="https://hub.floward.io/order/14444706" xr:uid="{3F851506-0B6F-40D0-8B84-F2CC8EE48415}"/>
    <hyperlink ref="N38" r:id="rId40" display="https://hub.floward.io/order/14645183" xr:uid="{6E04BF4F-464D-4B94-959A-94555AEF39C1}"/>
    <hyperlink ref="N40" r:id="rId41" display="https://hub.floward.io/order/14635820" xr:uid="{FC58753D-E9D8-4405-820A-5B2EF3F13DEB}"/>
    <hyperlink ref="N41" r:id="rId42" display="https://hub.floward.io/order/14661745" xr:uid="{FB0839F6-6F98-4CAC-AA7E-B1F0318435BC}"/>
    <hyperlink ref="N42" r:id="rId43" display="https://hub.floward.io/order/14660075" xr:uid="{918A3099-DAA5-4339-A5AC-03CD0D633B76}"/>
    <hyperlink ref="N43" r:id="rId44" display="https://hub.floward.io/order/14657438" xr:uid="{4DBE84EA-7EEB-40A8-B50C-EDEDF3C097B2}"/>
    <hyperlink ref="N44" r:id="rId45" display="https://hub.floward.io/order/14657067" xr:uid="{5F512D87-71F6-4F84-9055-1620AA4B4C74}"/>
    <hyperlink ref="N45" r:id="rId46" display="https://hub.floward.io/order/14657662" xr:uid="{FA77817B-09EE-4A3A-804D-FECA7F4CA747}"/>
    <hyperlink ref="N39" r:id="rId47" display="https://hub.floward.io/order/14635820" xr:uid="{7B2E792E-C7D4-482A-9F92-AEEB88195172}"/>
    <hyperlink ref="N46" r:id="rId48" display="https://hub.floward.io/order/14658710" xr:uid="{3D9C022D-8B1D-4F55-B4AB-4A956B117914}"/>
    <hyperlink ref="N47" r:id="rId49" display="https://hub.floward.io/order/14657881" xr:uid="{955D80AB-AD5C-4E6C-9DA4-4E6F027C7AC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9F05-43F3-4F19-9BC6-7F4B17E28B7E}">
  <dimension ref="A1:P34"/>
  <sheetViews>
    <sheetView topLeftCell="B12" workbookViewId="0">
      <selection activeCell="O19" sqref="O19"/>
    </sheetView>
  </sheetViews>
  <sheetFormatPr defaultRowHeight="14.4"/>
  <cols>
    <col min="1" max="1" width="11" customWidth="1"/>
    <col min="3" max="3" width="13.88671875" customWidth="1"/>
    <col min="4" max="4" width="10.88671875" customWidth="1"/>
    <col min="5" max="5" width="28.5546875" customWidth="1"/>
    <col min="6" max="6" width="15.44140625" customWidth="1"/>
    <col min="7" max="7" width="12.88671875" customWidth="1"/>
    <col min="8" max="8" width="10.44140625" customWidth="1"/>
    <col min="9" max="9" width="15.5546875" customWidth="1"/>
    <col min="10" max="10" width="14.44140625" customWidth="1"/>
    <col min="11" max="11" width="11" customWidth="1"/>
    <col min="12" max="12" width="13.33203125" customWidth="1"/>
    <col min="13" max="13" width="17.33203125" customWidth="1"/>
    <col min="14" max="14" width="13.6640625" customWidth="1"/>
    <col min="15" max="15" width="14.6640625" customWidth="1"/>
  </cols>
  <sheetData>
    <row r="1" spans="1:15">
      <c r="A1" s="112" t="s">
        <v>0</v>
      </c>
      <c r="B1" s="109" t="s">
        <v>1</v>
      </c>
      <c r="C1" s="113" t="s">
        <v>2</v>
      </c>
      <c r="D1" s="109" t="s">
        <v>3</v>
      </c>
      <c r="E1" s="109" t="s">
        <v>4</v>
      </c>
      <c r="F1" s="109" t="s">
        <v>5</v>
      </c>
      <c r="G1" s="109" t="s">
        <v>47</v>
      </c>
      <c r="H1" s="109" t="s">
        <v>6</v>
      </c>
      <c r="I1" s="109" t="s">
        <v>7</v>
      </c>
      <c r="J1" s="109" t="s">
        <v>8</v>
      </c>
      <c r="K1" s="114" t="s">
        <v>9</v>
      </c>
      <c r="L1" s="114" t="s">
        <v>10</v>
      </c>
      <c r="M1" s="109" t="s">
        <v>11</v>
      </c>
      <c r="N1" s="109" t="s">
        <v>48</v>
      </c>
      <c r="O1" s="109" t="s">
        <v>12</v>
      </c>
    </row>
    <row r="2" spans="1:15">
      <c r="A2" s="111" t="s">
        <v>392</v>
      </c>
      <c r="B2" s="105" t="s">
        <v>15</v>
      </c>
      <c r="C2" s="256">
        <v>45839</v>
      </c>
      <c r="D2" s="107"/>
      <c r="E2" s="134" t="s">
        <v>307</v>
      </c>
      <c r="F2" s="121">
        <v>7.5</v>
      </c>
      <c r="G2" s="233" t="s">
        <v>52</v>
      </c>
      <c r="H2" s="234" t="s">
        <v>51</v>
      </c>
      <c r="I2" s="233" t="s">
        <v>52</v>
      </c>
      <c r="J2" s="107"/>
      <c r="K2" s="107"/>
      <c r="L2" s="107"/>
      <c r="M2" s="105"/>
      <c r="N2" s="105" t="s">
        <v>53</v>
      </c>
      <c r="O2" s="8">
        <v>14767206</v>
      </c>
    </row>
    <row r="3" spans="1:15">
      <c r="A3" s="111" t="s">
        <v>392</v>
      </c>
      <c r="B3" s="105" t="s">
        <v>15</v>
      </c>
      <c r="C3" s="256">
        <v>45839</v>
      </c>
      <c r="D3" s="107"/>
      <c r="E3" s="134" t="s">
        <v>67</v>
      </c>
      <c r="F3" s="247">
        <v>143.6</v>
      </c>
      <c r="G3" s="133" t="s">
        <v>393</v>
      </c>
      <c r="H3" s="93" t="s">
        <v>51</v>
      </c>
      <c r="I3" s="133" t="s">
        <v>393</v>
      </c>
      <c r="J3" s="107"/>
      <c r="K3" s="107"/>
      <c r="L3" s="107"/>
      <c r="M3" s="105"/>
      <c r="N3" s="105" t="s">
        <v>53</v>
      </c>
      <c r="O3" s="8">
        <v>14914973</v>
      </c>
    </row>
    <row r="4" spans="1:15" ht="15">
      <c r="A4" s="111" t="s">
        <v>392</v>
      </c>
      <c r="B4" s="105" t="s">
        <v>15</v>
      </c>
      <c r="C4" s="256">
        <v>45839</v>
      </c>
      <c r="D4" s="107"/>
      <c r="E4" s="189" t="s">
        <v>59</v>
      </c>
      <c r="F4" s="247">
        <v>226.8</v>
      </c>
      <c r="G4" s="133" t="s">
        <v>52</v>
      </c>
      <c r="H4" s="93" t="s">
        <v>359</v>
      </c>
      <c r="I4" s="133" t="s">
        <v>52</v>
      </c>
      <c r="J4" s="107"/>
      <c r="K4" s="107"/>
      <c r="L4" s="107"/>
      <c r="M4" s="105"/>
      <c r="N4" s="105" t="s">
        <v>53</v>
      </c>
      <c r="O4" s="8">
        <v>14917206</v>
      </c>
    </row>
    <row r="5" spans="1:15">
      <c r="A5" s="111" t="s">
        <v>392</v>
      </c>
      <c r="B5" s="105" t="s">
        <v>15</v>
      </c>
      <c r="C5" s="256">
        <v>45840</v>
      </c>
      <c r="D5" s="219"/>
      <c r="E5" s="262" t="s">
        <v>309</v>
      </c>
      <c r="F5" s="142">
        <v>14.7</v>
      </c>
      <c r="G5" s="142" t="s">
        <v>52</v>
      </c>
      <c r="H5" s="148" t="s">
        <v>51</v>
      </c>
      <c r="I5" s="142" t="s">
        <v>52</v>
      </c>
      <c r="J5" s="263"/>
      <c r="K5" s="264"/>
      <c r="L5" s="265"/>
      <c r="M5" s="232"/>
      <c r="N5" s="144" t="s">
        <v>53</v>
      </c>
      <c r="O5" s="146">
        <v>14681120</v>
      </c>
    </row>
    <row r="6" spans="1:15">
      <c r="A6" s="111" t="s">
        <v>392</v>
      </c>
      <c r="B6" s="105" t="s">
        <v>15</v>
      </c>
      <c r="C6" s="256">
        <v>45844</v>
      </c>
      <c r="D6" s="246"/>
      <c r="E6" s="262" t="s">
        <v>309</v>
      </c>
      <c r="F6" s="147">
        <v>36.75</v>
      </c>
      <c r="G6" s="142" t="s">
        <v>52</v>
      </c>
      <c r="H6" s="148" t="s">
        <v>51</v>
      </c>
      <c r="I6" s="142" t="s">
        <v>52</v>
      </c>
      <c r="J6" s="263"/>
      <c r="K6" s="264"/>
      <c r="L6" s="265"/>
      <c r="M6" s="144"/>
      <c r="N6" s="144" t="s">
        <v>53</v>
      </c>
      <c r="O6" s="146">
        <v>14724864</v>
      </c>
    </row>
    <row r="7" spans="1:15">
      <c r="A7" s="111" t="s">
        <v>392</v>
      </c>
      <c r="B7" s="107" t="s">
        <v>15</v>
      </c>
      <c r="C7" s="256">
        <v>45846</v>
      </c>
      <c r="E7" s="134" t="s">
        <v>376</v>
      </c>
      <c r="F7" s="121">
        <v>59.325000000000003</v>
      </c>
      <c r="G7" s="133" t="s">
        <v>394</v>
      </c>
      <c r="H7" s="234" t="s">
        <v>51</v>
      </c>
      <c r="I7" s="133" t="s">
        <v>21</v>
      </c>
      <c r="J7" s="252"/>
      <c r="K7" s="10"/>
      <c r="L7" s="7"/>
      <c r="N7" s="105" t="s">
        <v>53</v>
      </c>
      <c r="O7" s="8">
        <v>14743834</v>
      </c>
    </row>
    <row r="8" spans="1:15">
      <c r="A8" s="111" t="s">
        <v>392</v>
      </c>
      <c r="B8" s="105" t="s">
        <v>15</v>
      </c>
      <c r="C8" s="256">
        <v>45848</v>
      </c>
      <c r="D8" s="219"/>
      <c r="E8" s="134" t="s">
        <v>369</v>
      </c>
      <c r="F8" s="121">
        <v>10</v>
      </c>
      <c r="G8" s="233" t="s">
        <v>52</v>
      </c>
      <c r="H8" s="234" t="s">
        <v>51</v>
      </c>
      <c r="I8" s="233" t="s">
        <v>52</v>
      </c>
      <c r="J8" s="251"/>
      <c r="K8" s="253"/>
      <c r="L8" s="254"/>
      <c r="M8" s="105"/>
      <c r="N8" s="105" t="s">
        <v>53</v>
      </c>
      <c r="O8" s="8">
        <v>14764578</v>
      </c>
    </row>
    <row r="9" spans="1:15">
      <c r="A9" s="111" t="s">
        <v>392</v>
      </c>
      <c r="B9" s="105" t="s">
        <v>15</v>
      </c>
      <c r="C9" s="256">
        <v>45848</v>
      </c>
      <c r="E9" s="134" t="s">
        <v>395</v>
      </c>
      <c r="F9" s="188">
        <v>52</v>
      </c>
      <c r="G9" s="233" t="s">
        <v>52</v>
      </c>
      <c r="H9" s="234" t="s">
        <v>51</v>
      </c>
      <c r="I9" s="133" t="s">
        <v>21</v>
      </c>
      <c r="N9" s="105" t="s">
        <v>53</v>
      </c>
      <c r="O9" s="8">
        <v>14764470</v>
      </c>
    </row>
    <row r="10" spans="1:15">
      <c r="A10" s="111" t="s">
        <v>392</v>
      </c>
      <c r="B10" s="105" t="s">
        <v>15</v>
      </c>
      <c r="C10" s="256">
        <v>45848</v>
      </c>
      <c r="E10" s="134" t="s">
        <v>396</v>
      </c>
      <c r="F10" s="188">
        <v>87.5</v>
      </c>
      <c r="G10" s="233" t="s">
        <v>52</v>
      </c>
      <c r="H10" s="234" t="s">
        <v>51</v>
      </c>
      <c r="I10" s="233" t="s">
        <v>52</v>
      </c>
      <c r="M10" s="107" t="s">
        <v>397</v>
      </c>
      <c r="N10" s="105" t="s">
        <v>53</v>
      </c>
      <c r="O10" s="8">
        <v>14762307</v>
      </c>
    </row>
    <row r="11" spans="1:15">
      <c r="A11" s="111" t="s">
        <v>392</v>
      </c>
      <c r="B11" s="105" t="s">
        <v>15</v>
      </c>
      <c r="C11" s="256">
        <v>45851</v>
      </c>
      <c r="E11" s="134" t="s">
        <v>398</v>
      </c>
      <c r="F11" s="121">
        <v>106</v>
      </c>
      <c r="G11" s="117" t="s">
        <v>298</v>
      </c>
      <c r="H11" s="93" t="s">
        <v>51</v>
      </c>
      <c r="I11" s="117" t="s">
        <v>298</v>
      </c>
      <c r="N11" s="105" t="s">
        <v>53</v>
      </c>
      <c r="O11" s="255">
        <v>14790089</v>
      </c>
    </row>
    <row r="12" spans="1:15">
      <c r="A12" s="111" t="s">
        <v>392</v>
      </c>
      <c r="B12" s="105" t="s">
        <v>15</v>
      </c>
      <c r="C12" s="256">
        <v>45851</v>
      </c>
      <c r="E12" s="199" t="s">
        <v>300</v>
      </c>
      <c r="F12" s="187">
        <v>56.94</v>
      </c>
      <c r="G12" s="117" t="s">
        <v>298</v>
      </c>
      <c r="H12" s="93" t="s">
        <v>51</v>
      </c>
      <c r="I12" s="117" t="s">
        <v>298</v>
      </c>
      <c r="M12" s="107"/>
      <c r="N12" s="105" t="s">
        <v>53</v>
      </c>
      <c r="O12" s="8">
        <v>14789994</v>
      </c>
    </row>
    <row r="13" spans="1:15">
      <c r="A13" s="111" t="s">
        <v>392</v>
      </c>
      <c r="B13" s="105"/>
      <c r="C13" s="256">
        <v>45854</v>
      </c>
      <c r="E13" s="199" t="s">
        <v>399</v>
      </c>
      <c r="F13" s="248">
        <v>31.5</v>
      </c>
      <c r="G13" s="237" t="s">
        <v>52</v>
      </c>
      <c r="H13" s="238" t="s">
        <v>51</v>
      </c>
      <c r="I13" s="237" t="s">
        <v>52</v>
      </c>
      <c r="N13" s="105" t="s">
        <v>53</v>
      </c>
      <c r="O13" s="8">
        <v>14820386</v>
      </c>
    </row>
    <row r="14" spans="1:15">
      <c r="A14" s="111" t="s">
        <v>392</v>
      </c>
      <c r="B14" s="105" t="s">
        <v>15</v>
      </c>
      <c r="C14" s="256">
        <v>45854</v>
      </c>
      <c r="E14" s="134" t="s">
        <v>307</v>
      </c>
      <c r="F14" s="188">
        <v>7.875</v>
      </c>
      <c r="G14" s="250" t="s">
        <v>52</v>
      </c>
      <c r="H14" s="234" t="s">
        <v>51</v>
      </c>
      <c r="I14" s="250" t="s">
        <v>52</v>
      </c>
      <c r="M14" s="219"/>
      <c r="N14" s="105" t="s">
        <v>53</v>
      </c>
      <c r="O14" s="8">
        <v>14817224</v>
      </c>
    </row>
    <row r="15" spans="1:15">
      <c r="A15" s="111" t="s">
        <v>392</v>
      </c>
      <c r="B15" s="105" t="s">
        <v>15</v>
      </c>
      <c r="C15" s="256">
        <v>45857</v>
      </c>
      <c r="E15" s="199" t="s">
        <v>400</v>
      </c>
      <c r="F15" s="236">
        <v>26.4</v>
      </c>
      <c r="G15" s="249" t="s">
        <v>52</v>
      </c>
      <c r="H15" s="238" t="s">
        <v>51</v>
      </c>
      <c r="I15" s="249" t="s">
        <v>52</v>
      </c>
      <c r="M15" t="s">
        <v>401</v>
      </c>
      <c r="N15" s="105" t="s">
        <v>53</v>
      </c>
      <c r="O15" s="8">
        <v>14836528</v>
      </c>
    </row>
    <row r="16" spans="1:15">
      <c r="A16" s="111" t="s">
        <v>392</v>
      </c>
      <c r="B16" s="105" t="s">
        <v>15</v>
      </c>
      <c r="C16" s="256">
        <v>45858</v>
      </c>
      <c r="E16" s="239" t="s">
        <v>402</v>
      </c>
      <c r="F16" s="240">
        <v>33</v>
      </c>
      <c r="G16" s="249" t="s">
        <v>52</v>
      </c>
      <c r="H16" s="238" t="s">
        <v>51</v>
      </c>
      <c r="I16" s="249" t="s">
        <v>52</v>
      </c>
      <c r="J16" s="241"/>
      <c r="K16" s="241"/>
      <c r="L16" s="241"/>
      <c r="M16" s="219" t="s">
        <v>403</v>
      </c>
      <c r="N16" s="105" t="s">
        <v>53</v>
      </c>
      <c r="O16" s="8">
        <v>14853626</v>
      </c>
    </row>
    <row r="17" spans="1:16">
      <c r="A17" s="111" t="s">
        <v>392</v>
      </c>
      <c r="B17" s="105" t="s">
        <v>15</v>
      </c>
      <c r="C17" s="256">
        <v>45858</v>
      </c>
      <c r="E17" s="242" t="s">
        <v>398</v>
      </c>
      <c r="F17" s="244">
        <v>50.758000000000003</v>
      </c>
      <c r="G17" s="233" t="s">
        <v>298</v>
      </c>
      <c r="H17" s="234" t="s">
        <v>51</v>
      </c>
      <c r="I17" s="233" t="s">
        <v>298</v>
      </c>
      <c r="J17" s="241"/>
      <c r="K17" s="241"/>
      <c r="L17" s="241"/>
      <c r="M17" s="105"/>
      <c r="N17" s="105" t="s">
        <v>53</v>
      </c>
      <c r="O17" s="8">
        <v>14851638</v>
      </c>
    </row>
    <row r="18" spans="1:16">
      <c r="A18" s="111" t="s">
        <v>392</v>
      </c>
      <c r="B18" s="105" t="s">
        <v>15</v>
      </c>
      <c r="C18" s="256">
        <v>45858</v>
      </c>
      <c r="E18" s="199" t="s">
        <v>300</v>
      </c>
      <c r="F18" s="248">
        <v>14.9</v>
      </c>
      <c r="G18" s="133" t="s">
        <v>298</v>
      </c>
      <c r="H18" s="93" t="s">
        <v>51</v>
      </c>
      <c r="I18" s="133" t="s">
        <v>298</v>
      </c>
      <c r="J18" s="195"/>
      <c r="K18" s="195"/>
      <c r="L18" s="195"/>
      <c r="M18" s="196"/>
      <c r="N18" s="105" t="s">
        <v>53</v>
      </c>
      <c r="O18" s="8">
        <v>14852560</v>
      </c>
    </row>
    <row r="19" spans="1:16">
      <c r="A19" s="111" t="s">
        <v>392</v>
      </c>
      <c r="B19" s="105" t="s">
        <v>15</v>
      </c>
      <c r="C19" s="256">
        <v>45859</v>
      </c>
      <c r="E19" s="134" t="s">
        <v>59</v>
      </c>
      <c r="F19" s="188">
        <v>64.650000000000006</v>
      </c>
      <c r="G19" s="233" t="s">
        <v>52</v>
      </c>
      <c r="H19" s="234" t="s">
        <v>51</v>
      </c>
      <c r="I19" s="233" t="s">
        <v>52</v>
      </c>
      <c r="M19" s="107"/>
      <c r="N19" s="105" t="s">
        <v>53</v>
      </c>
      <c r="O19" s="8">
        <v>14853497</v>
      </c>
    </row>
    <row r="20" spans="1:16">
      <c r="A20" s="111" t="s">
        <v>392</v>
      </c>
      <c r="B20" s="105" t="s">
        <v>15</v>
      </c>
      <c r="C20" s="256">
        <v>45859</v>
      </c>
      <c r="E20" s="242" t="s">
        <v>404</v>
      </c>
      <c r="F20" s="244">
        <v>28.856999999999999</v>
      </c>
      <c r="G20" s="250" t="s">
        <v>52</v>
      </c>
      <c r="H20" s="234" t="s">
        <v>51</v>
      </c>
      <c r="I20" s="250" t="s">
        <v>52</v>
      </c>
      <c r="J20" s="241"/>
      <c r="K20" s="241"/>
      <c r="L20" s="241"/>
      <c r="M20" s="105"/>
      <c r="N20" s="105" t="s">
        <v>53</v>
      </c>
      <c r="O20" s="8">
        <v>14853970</v>
      </c>
    </row>
    <row r="21" spans="1:16">
      <c r="A21" s="111" t="s">
        <v>392</v>
      </c>
      <c r="B21" s="105" t="s">
        <v>15</v>
      </c>
      <c r="C21" s="256">
        <v>45861</v>
      </c>
      <c r="E21" s="134" t="s">
        <v>307</v>
      </c>
      <c r="F21" s="121">
        <v>7.5</v>
      </c>
      <c r="G21" s="250" t="s">
        <v>52</v>
      </c>
      <c r="H21" s="234" t="s">
        <v>51</v>
      </c>
      <c r="I21" s="250" t="s">
        <v>52</v>
      </c>
      <c r="M21" s="219"/>
      <c r="N21" s="105" t="s">
        <v>53</v>
      </c>
      <c r="O21" s="8">
        <v>14879047</v>
      </c>
    </row>
    <row r="22" spans="1:16">
      <c r="A22" s="111" t="s">
        <v>392</v>
      </c>
      <c r="B22" s="105" t="s">
        <v>15</v>
      </c>
      <c r="C22" s="256">
        <v>45861</v>
      </c>
      <c r="E22" s="134" t="s">
        <v>281</v>
      </c>
      <c r="F22" s="188">
        <v>1571.0250000000001</v>
      </c>
      <c r="G22" s="233" t="s">
        <v>52</v>
      </c>
      <c r="H22" s="234" t="s">
        <v>389</v>
      </c>
      <c r="I22" s="233" t="s">
        <v>52</v>
      </c>
      <c r="N22" s="105" t="s">
        <v>53</v>
      </c>
      <c r="O22" s="8">
        <v>14877468</v>
      </c>
    </row>
    <row r="23" spans="1:16">
      <c r="A23" s="111" t="s">
        <v>392</v>
      </c>
      <c r="B23" s="105" t="s">
        <v>15</v>
      </c>
      <c r="C23" s="9">
        <v>45865</v>
      </c>
      <c r="E23" s="134" t="s">
        <v>67</v>
      </c>
      <c r="F23" s="187">
        <v>143.6</v>
      </c>
      <c r="G23" s="117" t="s">
        <v>393</v>
      </c>
      <c r="H23" s="93" t="s">
        <v>51</v>
      </c>
      <c r="I23" s="117" t="s">
        <v>393</v>
      </c>
      <c r="N23" s="105" t="s">
        <v>53</v>
      </c>
      <c r="O23" s="8">
        <v>14914973</v>
      </c>
    </row>
    <row r="24" spans="1:16">
      <c r="A24" s="258"/>
      <c r="B24" s="105" t="s">
        <v>15</v>
      </c>
      <c r="C24" s="9">
        <v>45865</v>
      </c>
      <c r="E24" s="134" t="s">
        <v>59</v>
      </c>
      <c r="F24" s="187">
        <v>226.8</v>
      </c>
      <c r="G24" s="117" t="s">
        <v>52</v>
      </c>
      <c r="H24" s="93" t="s">
        <v>359</v>
      </c>
      <c r="I24" s="117" t="s">
        <v>52</v>
      </c>
      <c r="M24" s="107"/>
      <c r="N24" s="105" t="s">
        <v>53</v>
      </c>
      <c r="O24" s="8">
        <v>14917206</v>
      </c>
    </row>
    <row r="25" spans="1:16">
      <c r="A25" s="111" t="s">
        <v>392</v>
      </c>
      <c r="B25" s="105" t="s">
        <v>15</v>
      </c>
      <c r="C25" s="257">
        <v>45865</v>
      </c>
      <c r="E25" s="134" t="s">
        <v>398</v>
      </c>
      <c r="F25" s="187">
        <v>21.643000000000001</v>
      </c>
      <c r="G25" s="117" t="s">
        <v>298</v>
      </c>
      <c r="H25" s="93" t="s">
        <v>51</v>
      </c>
      <c r="I25" s="117" t="s">
        <v>298</v>
      </c>
      <c r="N25" s="105" t="s">
        <v>53</v>
      </c>
      <c r="O25" s="8">
        <v>14914144</v>
      </c>
    </row>
    <row r="26" spans="1:16">
      <c r="A26" s="111"/>
      <c r="B26" s="105" t="s">
        <v>15</v>
      </c>
      <c r="C26" s="6">
        <v>45867</v>
      </c>
      <c r="E26" s="134" t="s">
        <v>405</v>
      </c>
      <c r="F26" s="187">
        <v>37.622999999999998</v>
      </c>
      <c r="G26" s="250" t="s">
        <v>52</v>
      </c>
      <c r="H26" s="234" t="s">
        <v>51</v>
      </c>
      <c r="I26" s="250" t="s">
        <v>52</v>
      </c>
      <c r="N26" s="105" t="s">
        <v>53</v>
      </c>
      <c r="O26" s="8">
        <v>14926067</v>
      </c>
    </row>
    <row r="27" spans="1:16">
      <c r="A27" s="111" t="s">
        <v>392</v>
      </c>
      <c r="B27" s="105" t="s">
        <v>15</v>
      </c>
      <c r="C27" s="257">
        <v>45865</v>
      </c>
      <c r="E27" s="199" t="s">
        <v>300</v>
      </c>
      <c r="F27" s="200">
        <v>59.155000000000001</v>
      </c>
      <c r="G27" s="133" t="s">
        <v>298</v>
      </c>
      <c r="H27" s="93" t="s">
        <v>51</v>
      </c>
      <c r="I27" s="133" t="s">
        <v>298</v>
      </c>
      <c r="J27" s="203"/>
      <c r="K27" s="203"/>
      <c r="L27" s="203"/>
      <c r="M27" s="203"/>
      <c r="N27" s="105" t="s">
        <v>53</v>
      </c>
      <c r="O27" s="8">
        <v>14914100</v>
      </c>
    </row>
    <row r="28" spans="1:16">
      <c r="A28" s="111" t="s">
        <v>392</v>
      </c>
      <c r="B28" s="105" t="s">
        <v>15</v>
      </c>
      <c r="C28" s="6">
        <v>45867</v>
      </c>
      <c r="E28" s="134" t="s">
        <v>67</v>
      </c>
      <c r="F28" s="187">
        <v>8</v>
      </c>
      <c r="G28" s="133" t="s">
        <v>393</v>
      </c>
      <c r="H28" s="93" t="s">
        <v>51</v>
      </c>
      <c r="I28" s="133" t="s">
        <v>393</v>
      </c>
      <c r="M28" t="s">
        <v>406</v>
      </c>
      <c r="N28" s="105" t="s">
        <v>53</v>
      </c>
      <c r="O28" s="8">
        <v>14938781</v>
      </c>
    </row>
    <row r="29" spans="1:16">
      <c r="A29" s="111" t="s">
        <v>392</v>
      </c>
      <c r="B29" s="105" t="s">
        <v>15</v>
      </c>
      <c r="C29" s="6">
        <v>45868</v>
      </c>
      <c r="E29" s="134" t="s">
        <v>367</v>
      </c>
      <c r="F29" s="187">
        <v>23.1</v>
      </c>
      <c r="G29" s="133" t="s">
        <v>52</v>
      </c>
      <c r="H29" s="93" t="s">
        <v>359</v>
      </c>
      <c r="I29" s="133" t="s">
        <v>52</v>
      </c>
      <c r="N29" s="105" t="s">
        <v>53</v>
      </c>
      <c r="O29" s="8">
        <v>14950487</v>
      </c>
    </row>
    <row r="30" spans="1:16">
      <c r="A30" s="111" t="s">
        <v>392</v>
      </c>
      <c r="B30" s="105" t="s">
        <v>15</v>
      </c>
      <c r="C30" s="6">
        <v>45868</v>
      </c>
      <c r="E30" s="134" t="s">
        <v>367</v>
      </c>
      <c r="F30" s="187">
        <v>23.1</v>
      </c>
      <c r="G30" s="133" t="s">
        <v>52</v>
      </c>
      <c r="H30" s="93" t="s">
        <v>359</v>
      </c>
      <c r="I30" s="133" t="s">
        <v>52</v>
      </c>
      <c r="N30" s="105" t="s">
        <v>53</v>
      </c>
      <c r="O30" s="8">
        <v>14950417</v>
      </c>
    </row>
    <row r="31" spans="1:16">
      <c r="A31" s="219" t="s">
        <v>392</v>
      </c>
      <c r="B31" s="219" t="s">
        <v>15</v>
      </c>
      <c r="C31" s="6">
        <v>45869</v>
      </c>
      <c r="E31" s="134" t="s">
        <v>398</v>
      </c>
      <c r="F31" s="187">
        <v>31.5</v>
      </c>
      <c r="G31" s="133" t="s">
        <v>298</v>
      </c>
      <c r="H31" s="93" t="s">
        <v>51</v>
      </c>
      <c r="I31" s="133" t="s">
        <v>298</v>
      </c>
      <c r="N31" s="105" t="s">
        <v>53</v>
      </c>
      <c r="O31" s="8">
        <v>14961903</v>
      </c>
    </row>
    <row r="32" spans="1:16" ht="15" thickBot="1">
      <c r="A32" s="219"/>
      <c r="B32" s="219"/>
      <c r="C32" s="6">
        <v>45869</v>
      </c>
      <c r="E32" s="134" t="s">
        <v>300</v>
      </c>
      <c r="F32" s="187">
        <v>14.000999999999999</v>
      </c>
      <c r="G32" s="133" t="s">
        <v>298</v>
      </c>
      <c r="H32" s="93" t="s">
        <v>51</v>
      </c>
      <c r="I32" s="133" t="s">
        <v>298</v>
      </c>
      <c r="N32" s="105" t="s">
        <v>53</v>
      </c>
      <c r="O32" s="235">
        <v>14961824</v>
      </c>
      <c r="P32" s="226"/>
    </row>
    <row r="33" spans="1:15">
      <c r="A33" s="219"/>
      <c r="B33" s="219"/>
      <c r="C33" s="6"/>
      <c r="E33" s="134"/>
      <c r="F33" s="187"/>
      <c r="G33" s="133"/>
      <c r="H33" s="93"/>
      <c r="I33" s="133"/>
      <c r="N33" s="219"/>
      <c r="O33" s="8"/>
    </row>
    <row r="34" spans="1:15" s="11" customFormat="1" ht="19.95" customHeight="1">
      <c r="C34" s="259"/>
      <c r="E34" s="212"/>
      <c r="F34" s="260">
        <f>SUM(F2:F32)</f>
        <v>3226.1020000000003</v>
      </c>
      <c r="G34" s="147"/>
      <c r="H34" s="148"/>
      <c r="I34" s="147"/>
      <c r="O34" s="146"/>
    </row>
  </sheetData>
  <autoFilter ref="A1:O32" xr:uid="{2C689F05-43F3-4F19-9BC6-7F4B17E28B7E}">
    <sortState xmlns:xlrd2="http://schemas.microsoft.com/office/spreadsheetml/2017/richdata2" ref="A2:O31">
      <sortCondition ref="C1"/>
    </sortState>
  </autoFilter>
  <hyperlinks>
    <hyperlink ref="O5" r:id="rId1" display="https://hub.floward.io/order/14681120" xr:uid="{F81F64A9-379D-4D48-BEFF-0B9B8271D8C8}"/>
    <hyperlink ref="O6" r:id="rId2" display="https://hub.floward.io/order/14724864" xr:uid="{86DEDBEE-3C8C-4B91-9F27-2922156A3810}"/>
    <hyperlink ref="O7" r:id="rId3" display="https://hub.floward.io/order/14743834" xr:uid="{98656789-58C4-4931-8C02-4D341C580BD1}"/>
    <hyperlink ref="O8" r:id="rId4" display="https://hub.floward.io/order/14764578" xr:uid="{E25FCD90-7EDC-4966-A3B6-6AB607D0C641}"/>
    <hyperlink ref="O9" r:id="rId5" display="https://hub.floward.io/order/14764470" xr:uid="{5A38ED91-4862-40C1-80D7-8200CA3301BE}"/>
    <hyperlink ref="O2" r:id="rId6" display="https://hub.floward.io/order/14767206" xr:uid="{36002EBA-4774-487B-943B-6FDD215A8285}"/>
    <hyperlink ref="O10" r:id="rId7" display="https://hub.floward.io/order/14762307" xr:uid="{71977EFE-51DD-46E8-B572-ABEA07DFD628}"/>
    <hyperlink ref="O11" r:id="rId8" display="https://hub.floward.io/order/14790089" xr:uid="{DEDDFF67-5F65-469D-90C3-BCC14890ADFE}"/>
    <hyperlink ref="O13" r:id="rId9" display="https://hub.floward.io/order/14820386" xr:uid="{5D575835-DD53-4B7F-9518-7CA1B741EDB3}"/>
    <hyperlink ref="O15" r:id="rId10" display="https://hub.floward.io/order/14836528" xr:uid="{BA6094EB-341D-4021-AF0B-FA11C28E3248}"/>
    <hyperlink ref="O16" r:id="rId11" display="https://hub.floward.io/order/14853626" xr:uid="{9C751CA6-D5E6-4766-931D-F523B5246CE9}"/>
    <hyperlink ref="O17" r:id="rId12" display="https://hub.floward.io/order/14851638" xr:uid="{F97FED51-727C-4394-A03C-B2BC5D5BE2A2}"/>
    <hyperlink ref="O20" r:id="rId13" display="https://hub.floward.io/order/14853970" xr:uid="{21B91759-75C9-40C4-AC9E-DA79F9527347}"/>
    <hyperlink ref="O19" r:id="rId14" display="https://hub.floward.io/order/14853497" xr:uid="{39BDCAB5-2956-4159-BDFB-E363E047D6CD}"/>
    <hyperlink ref="O22" r:id="rId15" display="https://hub.floward.io/order/14877468" xr:uid="{CFB84B46-807A-4774-A74B-97B09BC55307}"/>
    <hyperlink ref="O25" r:id="rId16" display="https://hub.floward.io/order/14914144" xr:uid="{A20FAEBF-3050-4387-BE48-22AC83D071A4}"/>
    <hyperlink ref="O27" r:id="rId17" display="https://hub.floward.io/order/14914100" xr:uid="{5B9FCCC3-4405-4A26-96D0-94F68E1071CA}"/>
    <hyperlink ref="O21" r:id="rId18" display="https://hub.floward.io/order/14879047" xr:uid="{21F413CE-5EA3-4D43-9FCD-40F5D41EDFBC}"/>
    <hyperlink ref="O18" r:id="rId19" display="https://hub.floward.io/order/14852560" xr:uid="{19633E21-81E4-4CD8-96F6-0A0B51B25F92}"/>
    <hyperlink ref="O14" r:id="rId20" display="https://hub.floward.io/order/14817224" xr:uid="{3917E2AA-3E21-425C-AAF2-302130A6594C}"/>
    <hyperlink ref="O12" r:id="rId21" display="https://hub.floward.io/order/14789994" xr:uid="{9001810F-F646-4822-9140-F66C59947872}"/>
    <hyperlink ref="O4" r:id="rId22" display="https://hub.floward.io/order/14917206" xr:uid="{BAAE4DE6-A8D8-4B04-8CFD-BC1D0AC44923}"/>
    <hyperlink ref="O3" r:id="rId23" display="https://hub.floward.io/order/14914973" xr:uid="{D8C47652-6389-44E0-AD81-1B699EAEA8A7}"/>
    <hyperlink ref="O31" r:id="rId24" display="https://hub.floward.io/order/14961903" xr:uid="{2F566351-964F-4FEF-9121-DF5EC71C9CEF}"/>
    <hyperlink ref="O29" r:id="rId25" display="https://hub.floward.io/order/14950487" xr:uid="{B8A15966-BBA5-4C3D-8361-5F52C96B84C3}"/>
    <hyperlink ref="O30" r:id="rId26" display="https://hub.floward.io/order/14950417" xr:uid="{DC88A132-B9A8-42CB-B453-3D22EE5ABDAE}"/>
    <hyperlink ref="O28" r:id="rId27" display="https://hub.floward.io/order/14938781" xr:uid="{A915495C-4C03-497C-89B8-0C45A1B22FEC}"/>
    <hyperlink ref="O23" r:id="rId28" display="https://hub.floward.io/order/14914973" xr:uid="{FD6041F5-4842-449C-B949-AF2A763B8F60}"/>
    <hyperlink ref="O24" r:id="rId29" display="https://hub.floward.io/order/14917206" xr:uid="{13FAD9C2-88F9-4662-9408-D91C76F2510B}"/>
    <hyperlink ref="O32" r:id="rId30" display="https://hub.floward.io/order/14961824" xr:uid="{6A4BDA79-7645-4853-8C34-F8AEDB39AB0F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4F1E-450F-4EBC-AA61-FA0F8CA4F15A}">
  <sheetPr filterMode="1"/>
  <dimension ref="A1:N23"/>
  <sheetViews>
    <sheetView topLeftCell="B1" workbookViewId="0">
      <selection activeCell="M13" sqref="M13"/>
    </sheetView>
  </sheetViews>
  <sheetFormatPr defaultRowHeight="14.4"/>
  <cols>
    <col min="1" max="1" width="14.44140625" customWidth="1"/>
    <col min="2" max="2" width="15.109375" customWidth="1"/>
    <col min="3" max="3" width="31.88671875" customWidth="1"/>
    <col min="4" max="4" width="17.88671875" customWidth="1"/>
    <col min="5" max="5" width="17.6640625" customWidth="1"/>
    <col min="6" max="6" width="15.5546875" customWidth="1"/>
    <col min="7" max="7" width="16" customWidth="1"/>
    <col min="8" max="8" width="10.6640625" customWidth="1"/>
    <col min="9" max="9" width="10.44140625" customWidth="1"/>
    <col min="10" max="10" width="12.109375" customWidth="1"/>
    <col min="11" max="11" width="9.6640625" customWidth="1"/>
    <col min="12" max="12" width="11.5546875" customWidth="1"/>
    <col min="13" max="13" width="16" customWidth="1"/>
  </cols>
  <sheetData>
    <row r="1" spans="1:14" ht="24" customHeight="1">
      <c r="A1" s="113" t="s">
        <v>2</v>
      </c>
      <c r="B1" s="109" t="s">
        <v>3</v>
      </c>
      <c r="C1" s="109" t="s">
        <v>4</v>
      </c>
      <c r="D1" s="109" t="s">
        <v>5</v>
      </c>
      <c r="E1" s="109" t="s">
        <v>47</v>
      </c>
      <c r="F1" s="109" t="s">
        <v>6</v>
      </c>
      <c r="G1" s="109" t="s">
        <v>7</v>
      </c>
      <c r="H1" s="109" t="s">
        <v>8</v>
      </c>
      <c r="I1" s="114" t="s">
        <v>9</v>
      </c>
      <c r="J1" s="114" t="s">
        <v>10</v>
      </c>
      <c r="K1" s="109" t="s">
        <v>11</v>
      </c>
      <c r="L1" s="109" t="s">
        <v>48</v>
      </c>
      <c r="M1" s="109" t="s">
        <v>12</v>
      </c>
    </row>
    <row r="2" spans="1:14" hidden="1">
      <c r="A2" s="256">
        <v>45900</v>
      </c>
      <c r="B2" s="105"/>
      <c r="C2" s="97" t="s">
        <v>76</v>
      </c>
      <c r="D2" s="117">
        <v>45.5</v>
      </c>
      <c r="E2" s="233" t="s">
        <v>52</v>
      </c>
      <c r="F2" s="234" t="s">
        <v>51</v>
      </c>
      <c r="G2" s="233" t="s">
        <v>52</v>
      </c>
      <c r="H2" s="118"/>
      <c r="I2" s="119"/>
      <c r="J2" s="120"/>
      <c r="K2" s="105"/>
      <c r="L2" s="105" t="s">
        <v>53</v>
      </c>
      <c r="M2" s="18">
        <v>15259580</v>
      </c>
    </row>
    <row r="3" spans="1:14" hidden="1">
      <c r="A3" s="256">
        <v>45889</v>
      </c>
      <c r="B3" s="116"/>
      <c r="C3" s="97" t="s">
        <v>59</v>
      </c>
      <c r="D3" s="117">
        <v>40.625</v>
      </c>
      <c r="E3" s="233" t="s">
        <v>52</v>
      </c>
      <c r="F3" s="234" t="s">
        <v>51</v>
      </c>
      <c r="G3" s="233" t="s">
        <v>52</v>
      </c>
      <c r="H3" s="118"/>
      <c r="I3" s="119"/>
      <c r="J3" s="120"/>
      <c r="K3" s="105"/>
      <c r="L3" s="105" t="s">
        <v>53</v>
      </c>
      <c r="M3" s="18">
        <v>15156716</v>
      </c>
    </row>
    <row r="4" spans="1:14" hidden="1">
      <c r="A4" s="256">
        <v>45888</v>
      </c>
      <c r="B4" s="107"/>
      <c r="C4" s="97" t="s">
        <v>59</v>
      </c>
      <c r="D4" s="121">
        <v>78</v>
      </c>
      <c r="E4" s="233" t="s">
        <v>52</v>
      </c>
      <c r="F4" s="234" t="s">
        <v>51</v>
      </c>
      <c r="G4" s="117" t="s">
        <v>21</v>
      </c>
      <c r="H4" s="123"/>
      <c r="I4" s="124"/>
      <c r="J4" s="125"/>
      <c r="K4" s="107"/>
      <c r="L4" s="105" t="s">
        <v>53</v>
      </c>
      <c r="M4" s="18">
        <v>15148110</v>
      </c>
    </row>
    <row r="5" spans="1:14" ht="15.6" hidden="1">
      <c r="A5" s="256">
        <v>45883</v>
      </c>
      <c r="B5" s="105"/>
      <c r="C5" s="245" t="s">
        <v>407</v>
      </c>
      <c r="D5" s="121">
        <v>47.25</v>
      </c>
      <c r="E5" s="233" t="s">
        <v>52</v>
      </c>
      <c r="F5" s="234" t="s">
        <v>51</v>
      </c>
      <c r="G5" s="117" t="s">
        <v>21</v>
      </c>
      <c r="H5" s="118"/>
      <c r="I5" s="119"/>
      <c r="J5" s="120"/>
      <c r="K5" s="105"/>
      <c r="L5" s="105" t="s">
        <v>53</v>
      </c>
      <c r="M5" s="18">
        <v>15100880</v>
      </c>
    </row>
    <row r="6" spans="1:14" hidden="1">
      <c r="A6" s="256">
        <v>45877</v>
      </c>
      <c r="C6" s="97" t="s">
        <v>59</v>
      </c>
      <c r="D6" s="121">
        <v>70.575000000000003</v>
      </c>
      <c r="E6" s="233" t="s">
        <v>52</v>
      </c>
      <c r="F6" s="234" t="s">
        <v>51</v>
      </c>
      <c r="G6" s="117" t="s">
        <v>21</v>
      </c>
      <c r="L6" s="105" t="s">
        <v>53</v>
      </c>
      <c r="M6" s="18">
        <v>15048309</v>
      </c>
    </row>
    <row r="7" spans="1:14">
      <c r="A7" s="256">
        <v>45877</v>
      </c>
      <c r="C7" s="134" t="s">
        <v>369</v>
      </c>
      <c r="D7" s="121">
        <v>28</v>
      </c>
      <c r="E7" s="233" t="s">
        <v>52</v>
      </c>
      <c r="F7" s="234" t="s">
        <v>389</v>
      </c>
      <c r="G7" s="233" t="s">
        <v>52</v>
      </c>
      <c r="L7" s="105" t="s">
        <v>53</v>
      </c>
      <c r="M7" s="18">
        <v>15005267</v>
      </c>
    </row>
    <row r="8" spans="1:14" hidden="1">
      <c r="A8" s="256">
        <v>45875</v>
      </c>
      <c r="C8" s="134" t="s">
        <v>408</v>
      </c>
      <c r="D8" s="121">
        <v>105</v>
      </c>
      <c r="E8" s="233" t="s">
        <v>52</v>
      </c>
      <c r="F8" s="234" t="s">
        <v>409</v>
      </c>
      <c r="G8" s="233" t="s">
        <v>52</v>
      </c>
      <c r="K8" s="105"/>
      <c r="L8" s="105" t="s">
        <v>53</v>
      </c>
      <c r="M8" s="18">
        <v>15024173</v>
      </c>
    </row>
    <row r="9" spans="1:14" hidden="1">
      <c r="A9" s="256">
        <v>45873</v>
      </c>
      <c r="C9" s="134" t="s">
        <v>67</v>
      </c>
      <c r="D9" s="121">
        <v>96</v>
      </c>
      <c r="E9" s="233" t="s">
        <v>347</v>
      </c>
      <c r="F9" s="234" t="s">
        <v>51</v>
      </c>
      <c r="G9" s="233" t="s">
        <v>347</v>
      </c>
      <c r="L9" s="105" t="s">
        <v>53</v>
      </c>
      <c r="M9" s="18">
        <v>15004986</v>
      </c>
    </row>
    <row r="10" spans="1:14" ht="15" hidden="1" thickBot="1">
      <c r="A10" s="256">
        <v>45870</v>
      </c>
      <c r="C10" s="134" t="s">
        <v>408</v>
      </c>
      <c r="D10" s="121">
        <v>105</v>
      </c>
      <c r="E10" s="233" t="s">
        <v>52</v>
      </c>
      <c r="F10" s="234" t="s">
        <v>409</v>
      </c>
      <c r="G10" s="233" t="s">
        <v>52</v>
      </c>
      <c r="L10" s="105" t="s">
        <v>53</v>
      </c>
      <c r="M10" s="18">
        <v>14993472</v>
      </c>
      <c r="N10" s="226"/>
    </row>
    <row r="11" spans="1:14" hidden="1">
      <c r="A11" s="256">
        <v>45870</v>
      </c>
      <c r="C11" s="134" t="s">
        <v>67</v>
      </c>
      <c r="D11" s="236">
        <v>4</v>
      </c>
      <c r="E11" s="237" t="s">
        <v>52</v>
      </c>
      <c r="F11" s="238" t="s">
        <v>51</v>
      </c>
      <c r="G11" s="237" t="s">
        <v>52</v>
      </c>
      <c r="L11" s="105" t="s">
        <v>53</v>
      </c>
      <c r="M11" s="21" t="s">
        <v>410</v>
      </c>
    </row>
    <row r="12" spans="1:14" hidden="1">
      <c r="A12" s="256">
        <v>45882</v>
      </c>
      <c r="C12" s="134" t="s">
        <v>408</v>
      </c>
      <c r="D12" s="121">
        <v>116.02500000000001</v>
      </c>
      <c r="E12" s="233" t="s">
        <v>52</v>
      </c>
      <c r="F12" s="234" t="s">
        <v>409</v>
      </c>
      <c r="G12" s="233" t="s">
        <v>52</v>
      </c>
      <c r="L12" s="105" t="s">
        <v>53</v>
      </c>
      <c r="M12" s="18">
        <v>15091563</v>
      </c>
    </row>
    <row r="13" spans="1:14">
      <c r="A13" s="256">
        <v>45883</v>
      </c>
      <c r="C13" s="239" t="s">
        <v>411</v>
      </c>
      <c r="D13" s="240">
        <v>183.75</v>
      </c>
      <c r="E13" s="237" t="s">
        <v>52</v>
      </c>
      <c r="F13" s="238" t="s">
        <v>51</v>
      </c>
      <c r="G13" s="237" t="s">
        <v>52</v>
      </c>
      <c r="H13" s="241"/>
      <c r="I13" s="241"/>
      <c r="J13" s="241"/>
      <c r="K13" s="105"/>
      <c r="L13" s="105" t="s">
        <v>53</v>
      </c>
      <c r="M13" s="18">
        <v>15106068</v>
      </c>
      <c r="N13" t="s">
        <v>412</v>
      </c>
    </row>
    <row r="14" spans="1:14" hidden="1">
      <c r="A14" s="256">
        <v>45895</v>
      </c>
      <c r="C14" s="242" t="s">
        <v>67</v>
      </c>
      <c r="D14" s="243">
        <v>99.44</v>
      </c>
      <c r="E14" s="233" t="s">
        <v>347</v>
      </c>
      <c r="F14" s="234" t="s">
        <v>51</v>
      </c>
      <c r="G14" s="233" t="s">
        <v>347</v>
      </c>
      <c r="H14" s="241"/>
      <c r="I14" s="241"/>
      <c r="J14" s="241"/>
      <c r="K14" s="105"/>
      <c r="L14" s="105" t="s">
        <v>53</v>
      </c>
      <c r="M14" s="18">
        <v>15203476</v>
      </c>
      <c r="N14" t="s">
        <v>412</v>
      </c>
    </row>
    <row r="15" spans="1:14" hidden="1">
      <c r="A15" s="256">
        <v>45890</v>
      </c>
      <c r="C15" s="242" t="s">
        <v>61</v>
      </c>
      <c r="D15" s="244">
        <v>78.099999999999994</v>
      </c>
      <c r="E15" s="233" t="s">
        <v>52</v>
      </c>
      <c r="F15" s="234" t="s">
        <v>51</v>
      </c>
      <c r="G15" s="233" t="s">
        <v>52</v>
      </c>
      <c r="H15" s="241"/>
      <c r="I15" s="241"/>
      <c r="J15" s="241"/>
      <c r="K15" s="105"/>
      <c r="L15" s="105" t="s">
        <v>53</v>
      </c>
      <c r="M15" s="18">
        <v>15167593</v>
      </c>
      <c r="N15" t="s">
        <v>412</v>
      </c>
    </row>
    <row r="16" spans="1:14" hidden="1">
      <c r="A16" s="256">
        <v>45890</v>
      </c>
      <c r="C16" s="212" t="s">
        <v>413</v>
      </c>
      <c r="D16" s="261">
        <v>31.5</v>
      </c>
      <c r="E16" s="142" t="s">
        <v>52</v>
      </c>
      <c r="F16" s="148" t="s">
        <v>51</v>
      </c>
      <c r="G16" s="142" t="s">
        <v>52</v>
      </c>
      <c r="H16" s="11"/>
      <c r="I16" s="11"/>
      <c r="J16" s="11"/>
      <c r="K16" s="11"/>
      <c r="L16" s="144" t="s">
        <v>53</v>
      </c>
      <c r="M16" s="215">
        <v>15167447</v>
      </c>
      <c r="N16" s="11" t="s">
        <v>412</v>
      </c>
    </row>
    <row r="17" spans="1:13" hidden="1">
      <c r="A17" s="256">
        <v>45899</v>
      </c>
      <c r="C17" s="134" t="s">
        <v>300</v>
      </c>
      <c r="D17" s="187">
        <v>138.55699999999999</v>
      </c>
      <c r="E17" s="133" t="s">
        <v>298</v>
      </c>
      <c r="F17" s="93" t="s">
        <v>51</v>
      </c>
      <c r="G17" s="133" t="s">
        <v>298</v>
      </c>
      <c r="L17" s="105" t="s">
        <v>53</v>
      </c>
      <c r="M17" s="18">
        <v>15259554</v>
      </c>
    </row>
    <row r="18" spans="1:13" hidden="1">
      <c r="A18" s="256">
        <v>45888</v>
      </c>
      <c r="C18" s="134" t="s">
        <v>300</v>
      </c>
      <c r="D18" s="187">
        <v>103.66800000000001</v>
      </c>
      <c r="E18" s="133" t="s">
        <v>298</v>
      </c>
      <c r="F18" s="93" t="s">
        <v>51</v>
      </c>
      <c r="G18" s="133" t="s">
        <v>298</v>
      </c>
      <c r="H18" s="203"/>
      <c r="I18" s="203"/>
      <c r="J18" s="203"/>
      <c r="K18" s="203"/>
      <c r="L18" s="105" t="s">
        <v>53</v>
      </c>
      <c r="M18" s="18">
        <v>15149246</v>
      </c>
    </row>
    <row r="19" spans="1:13" hidden="1">
      <c r="A19" s="6">
        <v>45882</v>
      </c>
      <c r="C19" s="134" t="s">
        <v>414</v>
      </c>
      <c r="D19" s="187">
        <v>7.5</v>
      </c>
      <c r="E19" s="233" t="s">
        <v>52</v>
      </c>
      <c r="F19" s="234" t="s">
        <v>51</v>
      </c>
      <c r="G19" s="233" t="s">
        <v>52</v>
      </c>
      <c r="L19" s="105" t="s">
        <v>53</v>
      </c>
      <c r="M19" s="18">
        <v>15091773</v>
      </c>
    </row>
    <row r="20" spans="1:13" hidden="1">
      <c r="A20" s="256">
        <v>45880</v>
      </c>
      <c r="C20" s="134" t="s">
        <v>414</v>
      </c>
      <c r="D20" s="187">
        <v>5</v>
      </c>
      <c r="E20" s="233" t="s">
        <v>52</v>
      </c>
      <c r="F20" s="234" t="s">
        <v>51</v>
      </c>
      <c r="G20" s="233" t="s">
        <v>52</v>
      </c>
      <c r="L20" s="105" t="s">
        <v>53</v>
      </c>
      <c r="M20" s="18">
        <v>15072050</v>
      </c>
    </row>
    <row r="21" spans="1:13" hidden="1">
      <c r="A21" s="256">
        <v>45873</v>
      </c>
      <c r="C21" s="134" t="s">
        <v>414</v>
      </c>
      <c r="D21" s="187">
        <v>5</v>
      </c>
      <c r="E21" s="233" t="s">
        <v>52</v>
      </c>
      <c r="F21" s="234" t="s">
        <v>51</v>
      </c>
      <c r="G21" s="233" t="s">
        <v>52</v>
      </c>
      <c r="L21" s="105" t="s">
        <v>53</v>
      </c>
      <c r="M21" s="18">
        <v>15004915</v>
      </c>
    </row>
    <row r="23" spans="1:13" s="11" customFormat="1" ht="22.2" customHeight="1">
      <c r="D23" s="322">
        <f>SUM(D2:D22)</f>
        <v>1388.4899999999998</v>
      </c>
    </row>
  </sheetData>
  <autoFilter ref="B1:M21" xr:uid="{143C4F1E-450F-4EBC-AA61-FA0F8CA4F15A}">
    <filterColumn colId="1">
      <filters>
        <filter val="ABQ"/>
        <filter val="Ooredeoo"/>
      </filters>
    </filterColumn>
  </autoFilter>
  <hyperlinks>
    <hyperlink ref="M3" r:id="rId1" display="https://hub.floward.io/order/15156716" xr:uid="{B2623C56-C0DF-431C-884B-EAB6AF364CB8}"/>
    <hyperlink ref="M2" r:id="rId2" display="https://hub.floward.io/order/15259580" xr:uid="{B2D3C6DC-625E-4C6B-AF22-9AE3C47182D3}"/>
    <hyperlink ref="M4" r:id="rId3" display="https://hub.floward.io/order/15148110" xr:uid="{D1EB90F6-47D6-4C74-ADEC-137A9760038F}"/>
    <hyperlink ref="M5" r:id="rId4" display="https://hub.floward.io/order/15100880" xr:uid="{269BC96E-DA78-4165-9816-0F6F41328693}"/>
    <hyperlink ref="M6" r:id="rId5" display="https://hub.floward.io/order/15048309" xr:uid="{672AA0CD-F103-49AD-AF14-CF5B65371AAE}"/>
    <hyperlink ref="M7" r:id="rId6" display="https://hub.floward.io/order/15005267" xr:uid="{0A93211E-3D0E-4E05-B661-303FAC5FC05A}"/>
    <hyperlink ref="M8" r:id="rId7" display="https://hub.floward.io/order/15024173" xr:uid="{56E94E42-909F-42E1-9B01-69CF4695B202}"/>
    <hyperlink ref="M9" r:id="rId8" display="https://hub.floward.io/order/15004986" xr:uid="{1F36BE64-6C40-474D-BC08-2D0CD8C101A3}"/>
    <hyperlink ref="M10" r:id="rId9" display="https://hub.floward.io/order/14993472" xr:uid="{CA2FF8F1-5956-469C-AE73-BCE7474E7CF4}"/>
    <hyperlink ref="M12" r:id="rId10" display="https://hub.floward.io/order/15091563" xr:uid="{26DE0C51-837E-410E-AED7-D7B57FEB3C76}"/>
    <hyperlink ref="M13" r:id="rId11" display="https://hub.floward.io/order/15106068" xr:uid="{BCD25BC8-7704-4376-9D36-6F1DF31B5AEC}"/>
    <hyperlink ref="M14" r:id="rId12" display="https://hub.floward.io/order/15203476" xr:uid="{B68836C1-1022-4475-B5C9-A1AE3C90D366}"/>
    <hyperlink ref="M15" r:id="rId13" display="https://hub.floward.io/order/15167593" xr:uid="{C5F455E1-36B3-43B1-9F19-40D923E04947}"/>
    <hyperlink ref="M16" r:id="rId14" display="https://hub.floward.io/order/15167447" xr:uid="{8619EAB3-08A1-497D-B78E-5CAECF6B794B}"/>
    <hyperlink ref="M17" r:id="rId15" display="https://hub.floward.io/order/15259554" xr:uid="{048ECF03-0C2D-4333-AF72-B9C907BCFB16}"/>
    <hyperlink ref="M18" r:id="rId16" display="https://hub.floward.io/order/15149246" xr:uid="{24E22C2C-177F-49EC-85E3-9F74EDF47627}"/>
    <hyperlink ref="M19" r:id="rId17" display="https://hub.floward.io/order/15091773" xr:uid="{0DBE0EFD-D4E5-44EC-924C-6B1969AF3501}"/>
    <hyperlink ref="M20" r:id="rId18" display="https://hub.floward.io/order/15072050" xr:uid="{4BD1A8A1-73A1-4BBC-A20C-4E26A29C78F3}"/>
    <hyperlink ref="M21" r:id="rId19" display="https://hub.floward.io/order/15004915" xr:uid="{36B6C0DD-4130-4B9B-9A4D-A632C759688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927A-74B7-4CF8-8820-97813E850125}">
  <sheetPr filterMode="1"/>
  <dimension ref="A1:P50"/>
  <sheetViews>
    <sheetView workbookViewId="0">
      <selection activeCell="M2" sqref="M2"/>
    </sheetView>
  </sheetViews>
  <sheetFormatPr defaultRowHeight="14.4"/>
  <cols>
    <col min="1" max="1" width="15.88671875" customWidth="1"/>
    <col min="2" max="2" width="14.6640625" customWidth="1"/>
    <col min="3" max="3" width="26.6640625" customWidth="1"/>
    <col min="4" max="4" width="16.6640625" customWidth="1"/>
    <col min="5" max="5" width="14.88671875" customWidth="1"/>
    <col min="6" max="6" width="15.109375" customWidth="1"/>
    <col min="7" max="7" width="20.6640625" customWidth="1"/>
    <col min="8" max="8" width="13.6640625" customWidth="1"/>
    <col min="9" max="9" width="12.6640625" customWidth="1"/>
    <col min="10" max="10" width="10.44140625" customWidth="1"/>
    <col min="11" max="11" width="13.6640625" customWidth="1"/>
    <col min="12" max="12" width="18" customWidth="1"/>
    <col min="13" max="13" width="12.5546875" customWidth="1"/>
    <col min="16" max="16" width="10.88671875" customWidth="1"/>
  </cols>
  <sheetData>
    <row r="1" spans="1:14">
      <c r="A1" s="296" t="s">
        <v>2</v>
      </c>
      <c r="B1" s="207" t="s">
        <v>3</v>
      </c>
      <c r="C1" s="207" t="s">
        <v>4</v>
      </c>
      <c r="D1" s="207" t="s">
        <v>5</v>
      </c>
      <c r="E1" s="207" t="s">
        <v>47</v>
      </c>
      <c r="F1" s="207" t="s">
        <v>6</v>
      </c>
      <c r="G1" s="207" t="s">
        <v>7</v>
      </c>
      <c r="H1" s="207" t="s">
        <v>8</v>
      </c>
      <c r="I1" s="297" t="s">
        <v>9</v>
      </c>
      <c r="J1" s="297" t="s">
        <v>10</v>
      </c>
      <c r="K1" s="207" t="s">
        <v>11</v>
      </c>
      <c r="L1" s="207" t="s">
        <v>48</v>
      </c>
      <c r="M1" s="109" t="s">
        <v>12</v>
      </c>
    </row>
    <row r="2" spans="1:14">
      <c r="A2" s="275">
        <v>45901</v>
      </c>
      <c r="B2" s="294"/>
      <c r="C2" s="373" t="s">
        <v>76</v>
      </c>
      <c r="D2" s="270">
        <v>54.3</v>
      </c>
      <c r="E2" s="270" t="s">
        <v>52</v>
      </c>
      <c r="F2" s="287" t="s">
        <v>51</v>
      </c>
      <c r="G2" s="270" t="s">
        <v>52</v>
      </c>
      <c r="H2" s="353"/>
      <c r="I2" s="354"/>
      <c r="J2" s="355"/>
      <c r="K2" s="356"/>
      <c r="L2" s="357" t="s">
        <v>53</v>
      </c>
      <c r="M2" s="387">
        <v>15276989</v>
      </c>
    </row>
    <row r="3" spans="1:14" hidden="1">
      <c r="A3" s="275">
        <v>45902</v>
      </c>
      <c r="B3" s="315"/>
      <c r="C3" s="276" t="s">
        <v>415</v>
      </c>
      <c r="D3" s="279">
        <v>120.65</v>
      </c>
      <c r="E3" s="271" t="s">
        <v>52</v>
      </c>
      <c r="F3" s="277" t="s">
        <v>51</v>
      </c>
      <c r="G3" s="271" t="s">
        <v>52</v>
      </c>
      <c r="H3" s="299"/>
      <c r="I3" s="300"/>
      <c r="J3" s="301"/>
      <c r="K3" s="278"/>
      <c r="L3" s="269" t="s">
        <v>53</v>
      </c>
      <c r="M3" s="278">
        <v>15292178</v>
      </c>
    </row>
    <row r="4" spans="1:14" hidden="1">
      <c r="A4" s="275">
        <v>45907</v>
      </c>
      <c r="B4" s="280"/>
      <c r="C4" s="286" t="s">
        <v>61</v>
      </c>
      <c r="D4" s="267">
        <v>20.100000000000001</v>
      </c>
      <c r="E4" s="270" t="s">
        <v>52</v>
      </c>
      <c r="F4" s="287" t="s">
        <v>51</v>
      </c>
      <c r="G4" s="270" t="s">
        <v>21</v>
      </c>
      <c r="H4" s="362"/>
      <c r="I4" s="362"/>
      <c r="J4" s="362"/>
      <c r="K4" s="356"/>
      <c r="L4" s="360" t="s">
        <v>53</v>
      </c>
      <c r="M4" s="387">
        <v>15363552</v>
      </c>
    </row>
    <row r="5" spans="1:14" hidden="1">
      <c r="A5" s="275">
        <v>45909</v>
      </c>
      <c r="B5" s="280"/>
      <c r="C5" s="286" t="s">
        <v>61</v>
      </c>
      <c r="D5" s="267">
        <v>20.100000000000001</v>
      </c>
      <c r="E5" s="270" t="s">
        <v>52</v>
      </c>
      <c r="F5" s="287" t="s">
        <v>389</v>
      </c>
      <c r="G5" s="270" t="s">
        <v>21</v>
      </c>
      <c r="H5" s="370"/>
      <c r="I5" s="370"/>
      <c r="J5" s="370"/>
      <c r="K5" s="356"/>
      <c r="L5" s="360" t="s">
        <v>53</v>
      </c>
      <c r="M5" s="387">
        <v>15344874</v>
      </c>
    </row>
    <row r="6" spans="1:14" hidden="1">
      <c r="A6" s="275">
        <v>45909</v>
      </c>
      <c r="B6" s="280"/>
      <c r="C6" s="286" t="s">
        <v>416</v>
      </c>
      <c r="D6" s="267">
        <v>28</v>
      </c>
      <c r="E6" s="270" t="s">
        <v>52</v>
      </c>
      <c r="F6" s="287" t="s">
        <v>51</v>
      </c>
      <c r="G6" s="304" t="s">
        <v>52</v>
      </c>
      <c r="H6" s="362"/>
      <c r="I6" s="362"/>
      <c r="J6" s="362"/>
      <c r="K6" s="306"/>
      <c r="L6" s="360" t="s">
        <v>53</v>
      </c>
      <c r="M6" s="306">
        <v>15373843</v>
      </c>
    </row>
    <row r="7" spans="1:14" hidden="1">
      <c r="A7" s="275">
        <v>45911</v>
      </c>
      <c r="B7" s="280"/>
      <c r="C7" s="291" t="s">
        <v>417</v>
      </c>
      <c r="D7" s="313">
        <v>45</v>
      </c>
      <c r="E7" s="271" t="s">
        <v>52</v>
      </c>
      <c r="F7" s="277" t="s">
        <v>51</v>
      </c>
      <c r="G7" s="303" t="s">
        <v>52</v>
      </c>
      <c r="H7" s="294"/>
      <c r="I7" s="294"/>
      <c r="J7" s="294"/>
      <c r="K7" s="374"/>
      <c r="L7" s="375" t="s">
        <v>53</v>
      </c>
      <c r="M7" s="374">
        <v>15384190</v>
      </c>
    </row>
    <row r="8" spans="1:14" hidden="1">
      <c r="A8" s="275">
        <v>45911</v>
      </c>
      <c r="B8" s="280"/>
      <c r="C8" s="284" t="s">
        <v>418</v>
      </c>
      <c r="D8" s="279">
        <v>972.3</v>
      </c>
      <c r="E8" s="271" t="s">
        <v>52</v>
      </c>
      <c r="F8" s="302" t="s">
        <v>51</v>
      </c>
      <c r="G8" s="305" t="s">
        <v>21</v>
      </c>
      <c r="H8" s="294"/>
      <c r="I8" s="294"/>
      <c r="J8" s="294"/>
      <c r="K8" s="307"/>
      <c r="L8" s="285" t="s">
        <v>53</v>
      </c>
      <c r="M8" s="307">
        <v>15387288</v>
      </c>
    </row>
    <row r="9" spans="1:14" hidden="1">
      <c r="A9" s="275">
        <v>45911</v>
      </c>
      <c r="B9" s="280"/>
      <c r="C9" s="288" t="s">
        <v>419</v>
      </c>
      <c r="D9" s="379">
        <v>152</v>
      </c>
      <c r="E9" s="289" t="s">
        <v>52</v>
      </c>
      <c r="F9" s="290" t="s">
        <v>51</v>
      </c>
      <c r="G9" s="380" t="s">
        <v>21</v>
      </c>
      <c r="H9" s="362"/>
      <c r="I9" s="362"/>
      <c r="J9" s="362"/>
      <c r="K9" s="308"/>
      <c r="L9" s="360" t="s">
        <v>53</v>
      </c>
      <c r="M9" s="308">
        <v>15387609</v>
      </c>
    </row>
    <row r="10" spans="1:14" hidden="1">
      <c r="A10" s="275">
        <v>45914</v>
      </c>
      <c r="B10" s="280"/>
      <c r="C10" s="376" t="s">
        <v>420</v>
      </c>
      <c r="D10" s="377">
        <v>52.625</v>
      </c>
      <c r="E10" s="292" t="s">
        <v>52</v>
      </c>
      <c r="F10" s="293" t="s">
        <v>51</v>
      </c>
      <c r="G10" s="303" t="s">
        <v>52</v>
      </c>
      <c r="H10" s="294"/>
      <c r="I10" s="294"/>
      <c r="J10" s="294"/>
      <c r="K10" s="378"/>
      <c r="L10" s="285" t="s">
        <v>53</v>
      </c>
      <c r="M10" s="309">
        <v>15415862</v>
      </c>
    </row>
    <row r="11" spans="1:14" hidden="1">
      <c r="A11" s="275">
        <v>45915</v>
      </c>
      <c r="B11" s="280"/>
      <c r="C11" s="286" t="s">
        <v>418</v>
      </c>
      <c r="D11" s="267">
        <v>73.5</v>
      </c>
      <c r="E11" s="289" t="s">
        <v>52</v>
      </c>
      <c r="F11" s="290" t="s">
        <v>51</v>
      </c>
      <c r="G11" s="304" t="s">
        <v>52</v>
      </c>
      <c r="H11" s="362"/>
      <c r="I11" s="362"/>
      <c r="J11" s="362"/>
      <c r="K11" s="306"/>
      <c r="L11" s="360" t="s">
        <v>53</v>
      </c>
      <c r="M11" s="403">
        <v>15422532</v>
      </c>
      <c r="N11" t="s">
        <v>421</v>
      </c>
    </row>
    <row r="12" spans="1:14" hidden="1">
      <c r="A12" s="275">
        <v>45915</v>
      </c>
      <c r="B12" s="280"/>
      <c r="C12" s="291" t="s">
        <v>422</v>
      </c>
      <c r="D12" s="279">
        <v>29</v>
      </c>
      <c r="E12" s="292" t="s">
        <v>52</v>
      </c>
      <c r="F12" s="293" t="s">
        <v>51</v>
      </c>
      <c r="G12" s="303" t="s">
        <v>52</v>
      </c>
      <c r="H12" s="294"/>
      <c r="I12" s="294"/>
      <c r="J12" s="294"/>
      <c r="K12" s="312"/>
      <c r="L12" s="285" t="s">
        <v>53</v>
      </c>
      <c r="M12" s="312">
        <v>15423606</v>
      </c>
    </row>
    <row r="13" spans="1:14" hidden="1">
      <c r="A13" s="275">
        <v>45915</v>
      </c>
      <c r="B13" s="280"/>
      <c r="C13" s="286" t="s">
        <v>30</v>
      </c>
      <c r="D13" s="267">
        <v>69.89</v>
      </c>
      <c r="E13" s="289" t="s">
        <v>52</v>
      </c>
      <c r="F13" s="290" t="s">
        <v>51</v>
      </c>
      <c r="G13" s="304" t="s">
        <v>52</v>
      </c>
      <c r="H13" s="362"/>
      <c r="I13" s="362"/>
      <c r="J13" s="362"/>
      <c r="K13" s="310"/>
      <c r="L13" s="360" t="s">
        <v>53</v>
      </c>
      <c r="M13" s="404">
        <v>15426103</v>
      </c>
    </row>
    <row r="14" spans="1:14" hidden="1">
      <c r="A14" s="275">
        <v>45915</v>
      </c>
      <c r="B14" s="280"/>
      <c r="C14" s="291" t="s">
        <v>420</v>
      </c>
      <c r="D14" s="313">
        <v>88.94</v>
      </c>
      <c r="E14" s="313" t="s">
        <v>52</v>
      </c>
      <c r="F14" s="302" t="s">
        <v>51</v>
      </c>
      <c r="G14" s="381" t="s">
        <v>52</v>
      </c>
      <c r="H14" s="294"/>
      <c r="I14" s="294"/>
      <c r="J14" s="294"/>
      <c r="K14" s="312"/>
      <c r="L14" s="375" t="s">
        <v>53</v>
      </c>
      <c r="M14" s="312">
        <v>15423282</v>
      </c>
    </row>
    <row r="15" spans="1:14" hidden="1">
      <c r="A15" s="275">
        <v>45916</v>
      </c>
      <c r="B15" s="280"/>
      <c r="C15" s="266" t="s">
        <v>299</v>
      </c>
      <c r="D15" s="279">
        <v>188.00700000000001</v>
      </c>
      <c r="E15" s="313" t="s">
        <v>52</v>
      </c>
      <c r="F15" s="302" t="s">
        <v>51</v>
      </c>
      <c r="G15" s="381" t="s">
        <v>298</v>
      </c>
      <c r="H15" s="316"/>
      <c r="I15" s="316"/>
      <c r="J15" s="316"/>
      <c r="K15" s="312"/>
      <c r="L15" s="375" t="s">
        <v>53</v>
      </c>
      <c r="M15" s="312">
        <v>15431951</v>
      </c>
    </row>
    <row r="16" spans="1:14">
      <c r="A16" s="275">
        <v>45917</v>
      </c>
      <c r="B16" s="280"/>
      <c r="C16" s="288" t="s">
        <v>423</v>
      </c>
      <c r="D16" s="379">
        <v>26</v>
      </c>
      <c r="E16" s="267" t="s">
        <v>52</v>
      </c>
      <c r="F16" s="268" t="s">
        <v>51</v>
      </c>
      <c r="G16" s="267" t="s">
        <v>52</v>
      </c>
      <c r="H16" s="382"/>
      <c r="I16" s="382"/>
      <c r="J16" s="382"/>
      <c r="K16" s="383"/>
      <c r="L16" s="357" t="s">
        <v>53</v>
      </c>
      <c r="M16" s="210">
        <v>15440347</v>
      </c>
      <c r="N16" t="s">
        <v>424</v>
      </c>
    </row>
    <row r="17" spans="1:13" hidden="1">
      <c r="A17" s="273">
        <v>45917</v>
      </c>
      <c r="B17" s="266"/>
      <c r="C17" s="266" t="s">
        <v>420</v>
      </c>
      <c r="D17" s="274">
        <v>55.52</v>
      </c>
      <c r="E17" s="313" t="s">
        <v>52</v>
      </c>
      <c r="F17" s="302" t="s">
        <v>51</v>
      </c>
      <c r="G17" s="313" t="s">
        <v>52</v>
      </c>
      <c r="H17" s="266"/>
      <c r="I17" s="266"/>
      <c r="J17" s="266"/>
      <c r="K17" s="266"/>
      <c r="L17" s="269" t="s">
        <v>53</v>
      </c>
      <c r="M17" s="266">
        <v>15440610</v>
      </c>
    </row>
    <row r="18" spans="1:13" hidden="1">
      <c r="A18" s="273">
        <v>45918</v>
      </c>
      <c r="B18" s="266"/>
      <c r="C18" s="266" t="s">
        <v>425</v>
      </c>
      <c r="D18" s="274">
        <v>55.1</v>
      </c>
      <c r="E18" s="313" t="s">
        <v>52</v>
      </c>
      <c r="F18" s="302" t="s">
        <v>51</v>
      </c>
      <c r="G18" s="313" t="s">
        <v>52</v>
      </c>
      <c r="H18" s="266"/>
      <c r="I18" s="266"/>
      <c r="J18" s="266"/>
      <c r="K18" s="295"/>
      <c r="L18" s="269" t="s">
        <v>53</v>
      </c>
      <c r="M18" s="295">
        <v>15450789</v>
      </c>
    </row>
    <row r="19" spans="1:13" hidden="1">
      <c r="A19" s="273">
        <v>45918</v>
      </c>
      <c r="B19" s="266"/>
      <c r="C19" s="266" t="s">
        <v>425</v>
      </c>
      <c r="D19" s="274">
        <v>65</v>
      </c>
      <c r="E19" s="313" t="s">
        <v>52</v>
      </c>
      <c r="F19" s="302" t="s">
        <v>51</v>
      </c>
      <c r="G19" s="313" t="s">
        <v>52</v>
      </c>
      <c r="H19" s="266"/>
      <c r="I19" s="266"/>
      <c r="J19" s="266"/>
      <c r="K19" s="295"/>
      <c r="L19" s="269" t="s">
        <v>53</v>
      </c>
      <c r="M19" s="295">
        <v>15451872</v>
      </c>
    </row>
    <row r="20" spans="1:13" hidden="1">
      <c r="A20" s="318">
        <v>45918</v>
      </c>
      <c r="B20" s="298"/>
      <c r="C20" s="298" t="s">
        <v>426</v>
      </c>
      <c r="D20" s="317">
        <v>40</v>
      </c>
      <c r="E20" s="314" t="s">
        <v>52</v>
      </c>
      <c r="F20" s="314" t="s">
        <v>51</v>
      </c>
      <c r="G20" s="314" t="s">
        <v>52</v>
      </c>
      <c r="H20" s="298"/>
      <c r="I20" s="298"/>
      <c r="J20" s="298"/>
      <c r="K20" s="298"/>
      <c r="L20" s="269" t="s">
        <v>53</v>
      </c>
      <c r="M20" s="298">
        <v>15450442</v>
      </c>
    </row>
    <row r="21" spans="1:13" hidden="1">
      <c r="A21" s="273">
        <v>45921</v>
      </c>
      <c r="B21" s="266"/>
      <c r="C21" s="266" t="s">
        <v>427</v>
      </c>
      <c r="D21" s="274">
        <v>20.8</v>
      </c>
      <c r="E21" s="266" t="s">
        <v>52</v>
      </c>
      <c r="F21" s="266" t="s">
        <v>51</v>
      </c>
      <c r="G21" s="266" t="s">
        <v>52</v>
      </c>
      <c r="H21" s="266"/>
      <c r="I21" s="266"/>
      <c r="J21" s="266"/>
      <c r="K21" s="266"/>
      <c r="L21" s="269" t="s">
        <v>53</v>
      </c>
      <c r="M21" s="266">
        <v>15477364</v>
      </c>
    </row>
    <row r="22" spans="1:13" hidden="1">
      <c r="A22" s="273">
        <v>45922</v>
      </c>
      <c r="B22" s="266"/>
      <c r="C22" s="266" t="s">
        <v>428</v>
      </c>
      <c r="D22" s="274">
        <v>118.125</v>
      </c>
      <c r="E22" s="266" t="s">
        <v>52</v>
      </c>
      <c r="F22" s="266" t="s">
        <v>51</v>
      </c>
      <c r="G22" s="266" t="s">
        <v>52</v>
      </c>
      <c r="H22" s="266"/>
      <c r="I22" s="266"/>
      <c r="J22" s="266"/>
      <c r="K22" s="266"/>
      <c r="L22" s="269" t="s">
        <v>53</v>
      </c>
      <c r="M22" s="266">
        <v>15487881</v>
      </c>
    </row>
    <row r="23" spans="1:13" hidden="1">
      <c r="A23" s="273">
        <v>45923</v>
      </c>
      <c r="B23" s="266"/>
      <c r="C23" s="266" t="s">
        <v>418</v>
      </c>
      <c r="D23" s="274">
        <v>147</v>
      </c>
      <c r="E23" s="266" t="s">
        <v>52</v>
      </c>
      <c r="F23" s="266" t="s">
        <v>51</v>
      </c>
      <c r="G23" s="266" t="s">
        <v>52</v>
      </c>
      <c r="H23" s="266"/>
      <c r="I23" s="266"/>
      <c r="J23" s="266"/>
      <c r="K23" s="266"/>
      <c r="L23" s="269" t="s">
        <v>53</v>
      </c>
      <c r="M23" s="266">
        <v>15495619</v>
      </c>
    </row>
    <row r="24" spans="1:13">
      <c r="A24" s="273">
        <v>45924</v>
      </c>
      <c r="B24" s="266"/>
      <c r="C24" s="360" t="s">
        <v>423</v>
      </c>
      <c r="D24" s="384">
        <v>54</v>
      </c>
      <c r="E24" s="360" t="s">
        <v>52</v>
      </c>
      <c r="F24" s="360" t="s">
        <v>51</v>
      </c>
      <c r="G24" s="360" t="s">
        <v>52</v>
      </c>
      <c r="H24" s="360"/>
      <c r="I24" s="360"/>
      <c r="J24" s="360"/>
      <c r="K24" s="360"/>
      <c r="L24" s="357" t="s">
        <v>53</v>
      </c>
      <c r="M24" s="8">
        <v>15503569</v>
      </c>
    </row>
    <row r="25" spans="1:13" hidden="1">
      <c r="A25" s="273">
        <v>45924</v>
      </c>
      <c r="B25" s="266"/>
      <c r="C25" s="360" t="s">
        <v>416</v>
      </c>
      <c r="D25" s="384">
        <v>20</v>
      </c>
      <c r="E25" s="360" t="s">
        <v>52</v>
      </c>
      <c r="F25" s="360" t="s">
        <v>51</v>
      </c>
      <c r="G25" s="360" t="s">
        <v>52</v>
      </c>
      <c r="H25" s="360"/>
      <c r="I25" s="360"/>
      <c r="J25" s="360"/>
      <c r="K25" s="360"/>
      <c r="L25" s="357" t="s">
        <v>53</v>
      </c>
      <c r="M25" s="388">
        <v>15504266</v>
      </c>
    </row>
    <row r="26" spans="1:13" hidden="1">
      <c r="A26" s="273">
        <v>45924</v>
      </c>
      <c r="B26" s="266"/>
      <c r="C26" s="266" t="s">
        <v>418</v>
      </c>
      <c r="D26" s="274">
        <v>1935.2850000000001</v>
      </c>
      <c r="E26" s="266" t="s">
        <v>52</v>
      </c>
      <c r="F26" s="266" t="s">
        <v>51</v>
      </c>
      <c r="G26" s="285" t="s">
        <v>21</v>
      </c>
      <c r="H26" s="266"/>
      <c r="I26" s="266"/>
      <c r="J26" s="266"/>
      <c r="K26" s="266"/>
      <c r="L26" s="269" t="s">
        <v>53</v>
      </c>
      <c r="M26" s="266">
        <v>15503831</v>
      </c>
    </row>
    <row r="27" spans="1:13" hidden="1">
      <c r="A27" s="273">
        <v>45925</v>
      </c>
      <c r="B27" s="266"/>
      <c r="C27" s="360" t="s">
        <v>429</v>
      </c>
      <c r="D27" s="384">
        <v>42.625</v>
      </c>
      <c r="E27" s="360" t="s">
        <v>52</v>
      </c>
      <c r="F27" s="360" t="s">
        <v>51</v>
      </c>
      <c r="G27" s="360" t="s">
        <v>52</v>
      </c>
      <c r="H27" s="360"/>
      <c r="I27" s="360"/>
      <c r="J27" s="360"/>
      <c r="K27" s="360"/>
      <c r="L27" s="357" t="s">
        <v>53</v>
      </c>
      <c r="M27" s="388">
        <v>15512499</v>
      </c>
    </row>
    <row r="28" spans="1:13" hidden="1">
      <c r="A28" s="273">
        <v>45925</v>
      </c>
      <c r="B28" s="266"/>
      <c r="C28" s="360" t="s">
        <v>429</v>
      </c>
      <c r="D28" s="384">
        <v>42.625</v>
      </c>
      <c r="E28" s="360" t="s">
        <v>52</v>
      </c>
      <c r="F28" s="360" t="s">
        <v>51</v>
      </c>
      <c r="G28" s="360" t="s">
        <v>52</v>
      </c>
      <c r="H28" s="360"/>
      <c r="I28" s="360"/>
      <c r="J28" s="360"/>
      <c r="K28" s="385"/>
      <c r="L28" s="357" t="s">
        <v>53</v>
      </c>
      <c r="M28" s="402">
        <v>15512555</v>
      </c>
    </row>
    <row r="29" spans="1:13" hidden="1">
      <c r="A29" s="273">
        <v>45925</v>
      </c>
      <c r="B29" s="266"/>
      <c r="C29" s="266" t="s">
        <v>299</v>
      </c>
      <c r="D29" s="274">
        <v>143.89500000000001</v>
      </c>
      <c r="E29" s="266" t="s">
        <v>52</v>
      </c>
      <c r="F29" s="266" t="s">
        <v>51</v>
      </c>
      <c r="G29" s="266" t="s">
        <v>298</v>
      </c>
      <c r="H29" s="266"/>
      <c r="I29" s="266"/>
      <c r="J29" s="266"/>
      <c r="K29" s="320"/>
      <c r="L29" s="269" t="s">
        <v>53</v>
      </c>
      <c r="M29" s="320">
        <v>15506660</v>
      </c>
    </row>
    <row r="30" spans="1:13" hidden="1">
      <c r="A30" s="319">
        <v>45927</v>
      </c>
      <c r="B30" s="266"/>
      <c r="C30" s="386" t="s">
        <v>430</v>
      </c>
      <c r="D30" s="384">
        <v>33.6</v>
      </c>
      <c r="E30" s="360" t="s">
        <v>52</v>
      </c>
      <c r="F30" s="360" t="s">
        <v>51</v>
      </c>
      <c r="G30" s="360" t="s">
        <v>52</v>
      </c>
      <c r="H30" s="360"/>
      <c r="I30" s="360"/>
      <c r="J30" s="360"/>
      <c r="K30" s="360"/>
      <c r="L30" s="357" t="s">
        <v>53</v>
      </c>
      <c r="M30" s="388">
        <v>15514378</v>
      </c>
    </row>
    <row r="31" spans="1:13" hidden="1">
      <c r="A31" s="319">
        <v>45928</v>
      </c>
      <c r="B31" s="266"/>
      <c r="C31" s="360" t="s">
        <v>30</v>
      </c>
      <c r="D31" s="384">
        <v>54.625</v>
      </c>
      <c r="E31" s="360" t="s">
        <v>52</v>
      </c>
      <c r="F31" s="360" t="s">
        <v>51</v>
      </c>
      <c r="G31" s="360" t="s">
        <v>52</v>
      </c>
      <c r="H31" s="360"/>
      <c r="I31" s="360"/>
      <c r="J31" s="360"/>
      <c r="K31" s="360"/>
      <c r="L31" s="357" t="s">
        <v>53</v>
      </c>
      <c r="M31" s="388">
        <v>15546585</v>
      </c>
    </row>
    <row r="32" spans="1:13" hidden="1">
      <c r="A32" s="319">
        <v>45928</v>
      </c>
      <c r="B32" s="266"/>
      <c r="C32" s="266" t="s">
        <v>299</v>
      </c>
      <c r="D32" s="274">
        <v>6.7</v>
      </c>
      <c r="E32" s="266" t="s">
        <v>52</v>
      </c>
      <c r="F32" s="266" t="s">
        <v>51</v>
      </c>
      <c r="G32" s="266" t="s">
        <v>298</v>
      </c>
      <c r="H32" s="266"/>
      <c r="I32" s="266"/>
      <c r="J32" s="266"/>
      <c r="K32" s="320"/>
      <c r="L32" s="269" t="s">
        <v>53</v>
      </c>
      <c r="M32" s="320">
        <v>15506660</v>
      </c>
    </row>
    <row r="33" spans="1:16" hidden="1">
      <c r="A33" s="319">
        <v>45928</v>
      </c>
      <c r="B33" s="266"/>
      <c r="C33" s="266" t="s">
        <v>431</v>
      </c>
      <c r="D33" s="272">
        <v>79</v>
      </c>
      <c r="E33" s="266" t="s">
        <v>52</v>
      </c>
      <c r="F33" s="266" t="s">
        <v>51</v>
      </c>
      <c r="G33" s="266" t="s">
        <v>432</v>
      </c>
      <c r="H33" s="266"/>
      <c r="I33" s="266"/>
      <c r="J33" s="266"/>
      <c r="K33" s="320"/>
      <c r="L33" s="269" t="s">
        <v>53</v>
      </c>
      <c r="M33" s="320">
        <v>15555171</v>
      </c>
    </row>
    <row r="34" spans="1:16" hidden="1">
      <c r="A34" s="319">
        <v>45928</v>
      </c>
      <c r="B34" s="266"/>
      <c r="C34" s="266" t="s">
        <v>433</v>
      </c>
      <c r="D34" s="272">
        <v>12</v>
      </c>
      <c r="E34" s="266" t="s">
        <v>52</v>
      </c>
      <c r="F34" s="266" t="s">
        <v>51</v>
      </c>
      <c r="G34" s="266" t="s">
        <v>298</v>
      </c>
      <c r="H34" s="266"/>
      <c r="I34" s="266"/>
      <c r="J34" s="266"/>
      <c r="K34" s="320"/>
      <c r="L34" s="269" t="s">
        <v>53</v>
      </c>
      <c r="M34" s="320">
        <v>15555869</v>
      </c>
    </row>
    <row r="35" spans="1:16" hidden="1">
      <c r="A35" s="319">
        <v>45929</v>
      </c>
      <c r="B35" s="266"/>
      <c r="C35" s="266" t="s">
        <v>300</v>
      </c>
      <c r="D35" s="272">
        <v>68.534999999999997</v>
      </c>
      <c r="E35" s="266" t="s">
        <v>52</v>
      </c>
      <c r="F35" s="266" t="s">
        <v>51</v>
      </c>
      <c r="G35" s="266" t="s">
        <v>298</v>
      </c>
      <c r="H35" s="266"/>
      <c r="I35" s="266"/>
      <c r="J35" s="266"/>
      <c r="K35" s="320"/>
      <c r="L35" s="269" t="s">
        <v>53</v>
      </c>
      <c r="M35" s="320">
        <v>15555560</v>
      </c>
    </row>
    <row r="36" spans="1:16" ht="24" hidden="1" customHeight="1" thickTop="1">
      <c r="A36" s="181" t="s">
        <v>82</v>
      </c>
      <c r="B36" s="182"/>
      <c r="C36" s="183"/>
      <c r="D36" s="321">
        <f>SUM(D2:D35)</f>
        <v>4934.8470000000007</v>
      </c>
      <c r="E36" s="182"/>
      <c r="F36" s="184"/>
      <c r="G36" s="184"/>
      <c r="H36" s="184"/>
      <c r="I36" s="182"/>
      <c r="J36" s="184"/>
      <c r="K36" s="185"/>
      <c r="L36" s="184"/>
      <c r="M36" s="182"/>
      <c r="N36" s="182"/>
      <c r="O36" s="182"/>
      <c r="P36" s="186"/>
    </row>
    <row r="37" spans="1:16">
      <c r="A37" s="266"/>
      <c r="B37" s="266"/>
      <c r="C37" s="266"/>
      <c r="D37" s="272"/>
      <c r="E37" s="266"/>
      <c r="F37" s="266"/>
      <c r="G37" s="266"/>
      <c r="H37" s="266"/>
      <c r="I37" s="266"/>
      <c r="J37" s="266"/>
      <c r="K37" s="266"/>
      <c r="L37" s="266"/>
    </row>
    <row r="38" spans="1:16">
      <c r="A38" s="266"/>
      <c r="B38" s="266"/>
      <c r="C38" s="266"/>
      <c r="D38" s="272"/>
      <c r="E38" s="266"/>
      <c r="F38" s="266"/>
      <c r="G38" s="266"/>
      <c r="H38" s="266"/>
      <c r="I38" s="266"/>
      <c r="J38" s="266"/>
      <c r="K38" s="266"/>
      <c r="L38" s="266"/>
    </row>
    <row r="39" spans="1:16">
      <c r="A39" s="266"/>
      <c r="B39" s="266"/>
      <c r="C39" s="266"/>
      <c r="D39" s="272"/>
      <c r="E39" s="266"/>
      <c r="F39" s="266"/>
      <c r="G39" s="266"/>
      <c r="H39" s="266"/>
      <c r="I39" s="266"/>
      <c r="J39" s="266"/>
      <c r="K39" s="266"/>
      <c r="L39" s="266"/>
    </row>
    <row r="40" spans="1:16">
      <c r="A40" s="266"/>
      <c r="B40" s="266"/>
      <c r="C40" s="266"/>
      <c r="D40" s="272"/>
      <c r="E40" s="266"/>
      <c r="F40" s="266"/>
      <c r="G40" s="266"/>
      <c r="H40" s="266"/>
      <c r="I40" s="266"/>
      <c r="J40" s="266"/>
      <c r="K40" s="266"/>
      <c r="L40" s="266"/>
    </row>
    <row r="41" spans="1:16">
      <c r="A41" s="266"/>
      <c r="B41" s="266"/>
      <c r="C41" s="266"/>
      <c r="D41" s="272"/>
      <c r="E41" s="266"/>
      <c r="F41" s="266"/>
      <c r="G41" s="266"/>
      <c r="H41" s="266"/>
      <c r="I41" s="266"/>
      <c r="J41" s="266"/>
      <c r="K41" s="266"/>
      <c r="L41" s="266"/>
    </row>
    <row r="42" spans="1:16">
      <c r="A42" s="266"/>
      <c r="B42" s="266"/>
      <c r="C42" s="266"/>
      <c r="D42" s="272"/>
      <c r="E42" s="266"/>
      <c r="F42" s="266"/>
      <c r="G42" s="266"/>
      <c r="H42" s="266"/>
      <c r="I42" s="266"/>
      <c r="J42" s="266"/>
      <c r="K42" s="266"/>
      <c r="L42" s="266"/>
    </row>
    <row r="43" spans="1:16">
      <c r="C43" s="20"/>
    </row>
    <row r="44" spans="1:16">
      <c r="C44" s="20"/>
    </row>
    <row r="45" spans="1:16">
      <c r="C45" s="20"/>
    </row>
    <row r="46" spans="1:16">
      <c r="C46" s="20"/>
    </row>
    <row r="47" spans="1:16">
      <c r="C47" s="20"/>
    </row>
    <row r="48" spans="1:16">
      <c r="C48" s="20"/>
    </row>
    <row r="49" spans="3:3">
      <c r="C49" s="20"/>
    </row>
    <row r="50" spans="3:3">
      <c r="C50" s="20"/>
    </row>
  </sheetData>
  <autoFilter ref="A1:P36" xr:uid="{A2B0927A-74B7-4CF8-8820-97813E850125}">
    <filterColumn colId="2">
      <filters>
        <filter val="ODP"/>
        <filter val="Oman Data park"/>
      </filters>
    </filterColumn>
  </autoFilter>
  <hyperlinks>
    <hyperlink ref="M2" r:id="rId1" display="https://hub.floward.io/order/15276989" xr:uid="{1D64CA6F-734F-4DDC-824E-8B218BBF7F0C}"/>
    <hyperlink ref="M3" r:id="rId2" display="https://hub.floward.io/order/15292178" xr:uid="{AEE0CAA2-9CDE-4360-AA0F-B2359E23F89D}"/>
    <hyperlink ref="M4" r:id="rId3" display="https://hub.floward.io/order/15363552" xr:uid="{CEA2BB0D-7D2B-490A-AA7B-E48E03F26088}"/>
    <hyperlink ref="M5" r:id="rId4" display="https://hub.floward.io/order/15344874" xr:uid="{BE80C367-75A1-4B20-9F06-0EBE6086FAD4}"/>
    <hyperlink ref="M6" r:id="rId5" display="https://hub.floward.io/order/15373843" xr:uid="{C38BA017-97A9-41E7-950B-DEE781FB8EE2}"/>
    <hyperlink ref="M7" r:id="rId6" display="https://hub.floward.io/order/15384190" xr:uid="{9DB03CE0-5D8F-469B-B44B-A0B9A420526E}"/>
    <hyperlink ref="M11" r:id="rId7" display="15422532" xr:uid="{9BA14155-0F53-4AA7-8639-FFF9EFADBFF5}"/>
    <hyperlink ref="M18" r:id="rId8" display="15450789" xr:uid="{BF677F24-07E3-459B-B83E-35021A4B3C1E}"/>
    <hyperlink ref="M29" r:id="rId9" display="15506660" xr:uid="{FA87AD6E-B689-49CC-AE22-5EAD9555547C}"/>
    <hyperlink ref="M19" r:id="rId10" display="15450789" xr:uid="{528FFD85-94FC-4F45-A7C2-6C10FD647E3F}"/>
    <hyperlink ref="M32" r:id="rId11" display="15506660" xr:uid="{9C3FBB66-43E2-4E12-8B65-78512A815EE6}"/>
    <hyperlink ref="M33" r:id="rId12" display="https://hub.floward.io/order/15555171" xr:uid="{F689727F-C6EA-4F47-AAEF-7150ECC32E9F}"/>
    <hyperlink ref="M34" r:id="rId13" display="https://hub.floward.io/order/15555869" xr:uid="{B3720AE3-EE8D-4751-9CD2-335AFBAACE15}"/>
    <hyperlink ref="M35" r:id="rId14" display="https://hub.floward.io/order/15555560" xr:uid="{7C3095D9-378F-4D95-A22E-A4EE622C939C}"/>
    <hyperlink ref="M24" r:id="rId15" display="https://hub.floward.io/order/15503569" xr:uid="{B754A221-C2D3-46A0-A692-ACFFCBF1E12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E4A2-D5DD-42C9-9E17-5BB638B5E359}">
  <dimension ref="A1:N77"/>
  <sheetViews>
    <sheetView workbookViewId="0">
      <selection activeCell="D43" sqref="D43"/>
    </sheetView>
  </sheetViews>
  <sheetFormatPr defaultRowHeight="14.4"/>
  <cols>
    <col min="1" max="1" width="12.6640625" customWidth="1"/>
    <col min="2" max="2" width="11.44140625" customWidth="1"/>
    <col min="3" max="3" width="26.88671875" customWidth="1"/>
    <col min="4" max="4" width="14.88671875" customWidth="1"/>
    <col min="5" max="5" width="15.5546875" customWidth="1"/>
    <col min="6" max="6" width="20.33203125" customWidth="1"/>
    <col min="7" max="7" width="20.5546875" customWidth="1"/>
    <col min="8" max="8" width="14.44140625" customWidth="1"/>
    <col min="9" max="9" width="11.88671875" customWidth="1"/>
    <col min="10" max="10" width="11" customWidth="1"/>
    <col min="11" max="11" width="12.6640625" customWidth="1"/>
    <col min="12" max="12" width="17.109375" customWidth="1"/>
    <col min="13" max="13" width="13.6640625" customWidth="1"/>
    <col min="14" max="14" width="14.44140625" customWidth="1"/>
  </cols>
  <sheetData>
    <row r="1" spans="1:14">
      <c r="A1" s="296" t="s">
        <v>2</v>
      </c>
      <c r="B1" s="207" t="s">
        <v>3</v>
      </c>
      <c r="C1" s="207" t="s">
        <v>4</v>
      </c>
      <c r="D1" s="207" t="s">
        <v>5</v>
      </c>
      <c r="E1" s="207" t="s">
        <v>47</v>
      </c>
      <c r="F1" s="207" t="s">
        <v>6</v>
      </c>
      <c r="G1" s="207" t="s">
        <v>7</v>
      </c>
      <c r="H1" s="207" t="s">
        <v>8</v>
      </c>
      <c r="I1" s="297" t="s">
        <v>9</v>
      </c>
      <c r="J1" s="297" t="s">
        <v>10</v>
      </c>
      <c r="K1" s="207" t="s">
        <v>11</v>
      </c>
      <c r="L1" s="207" t="s">
        <v>48</v>
      </c>
      <c r="M1" s="207" t="s">
        <v>12</v>
      </c>
      <c r="N1" s="346" t="s">
        <v>13</v>
      </c>
    </row>
    <row r="2" spans="1:14">
      <c r="A2" s="273">
        <v>45698</v>
      </c>
      <c r="B2" s="323"/>
      <c r="C2" s="352" t="s">
        <v>309</v>
      </c>
      <c r="D2" s="267">
        <v>27.8</v>
      </c>
      <c r="E2" s="270" t="s">
        <v>52</v>
      </c>
      <c r="F2" s="287" t="s">
        <v>51</v>
      </c>
      <c r="G2" s="267" t="s">
        <v>52</v>
      </c>
      <c r="H2" s="353"/>
      <c r="I2" s="354"/>
      <c r="J2" s="355"/>
      <c r="K2" s="356"/>
      <c r="L2" s="357" t="s">
        <v>53</v>
      </c>
      <c r="M2" s="358">
        <v>15593283</v>
      </c>
    </row>
    <row r="3" spans="1:14">
      <c r="A3" s="273">
        <v>45698</v>
      </c>
      <c r="B3" s="324"/>
      <c r="C3" s="352" t="s">
        <v>281</v>
      </c>
      <c r="D3" s="267">
        <v>42.625</v>
      </c>
      <c r="E3" s="270" t="s">
        <v>52</v>
      </c>
      <c r="F3" s="287" t="s">
        <v>51</v>
      </c>
      <c r="G3" s="267" t="s">
        <v>52</v>
      </c>
      <c r="H3" s="353"/>
      <c r="I3" s="354"/>
      <c r="J3" s="355"/>
      <c r="K3" s="356"/>
      <c r="L3" s="357" t="s">
        <v>53</v>
      </c>
      <c r="M3" s="358">
        <v>15595654</v>
      </c>
    </row>
    <row r="4" spans="1:14">
      <c r="A4" s="273">
        <v>45787</v>
      </c>
      <c r="B4" s="330"/>
      <c r="C4" s="361" t="s">
        <v>434</v>
      </c>
      <c r="D4" s="267">
        <v>50</v>
      </c>
      <c r="E4" s="270" t="s">
        <v>52</v>
      </c>
      <c r="F4" s="287" t="s">
        <v>51</v>
      </c>
      <c r="G4" s="267" t="s">
        <v>52</v>
      </c>
      <c r="H4" s="362"/>
      <c r="I4" s="362"/>
      <c r="J4" s="362"/>
      <c r="K4" s="356"/>
      <c r="L4" s="360" t="s">
        <v>53</v>
      </c>
      <c r="M4" s="358">
        <v>15634089</v>
      </c>
    </row>
    <row r="5" spans="1:14">
      <c r="A5" s="273">
        <v>45787</v>
      </c>
      <c r="B5" s="324"/>
      <c r="C5" s="359" t="s">
        <v>430</v>
      </c>
      <c r="D5" s="267">
        <v>49.875</v>
      </c>
      <c r="E5" s="270" t="s">
        <v>52</v>
      </c>
      <c r="F5" s="287" t="s">
        <v>77</v>
      </c>
      <c r="G5" s="267" t="s">
        <v>21</v>
      </c>
      <c r="H5" s="353"/>
      <c r="I5" s="354"/>
      <c r="J5" s="355"/>
      <c r="K5" s="360"/>
      <c r="L5" s="357" t="s">
        <v>53</v>
      </c>
      <c r="M5" s="388">
        <v>15628301</v>
      </c>
    </row>
    <row r="6" spans="1:14">
      <c r="A6" s="273">
        <v>45787</v>
      </c>
      <c r="B6" s="325"/>
      <c r="C6" s="326" t="s">
        <v>435</v>
      </c>
      <c r="D6" s="279">
        <v>25</v>
      </c>
      <c r="E6" s="271" t="s">
        <v>52</v>
      </c>
      <c r="F6" s="277" t="s">
        <v>51</v>
      </c>
      <c r="G6" s="279" t="s">
        <v>21</v>
      </c>
      <c r="H6" s="280"/>
      <c r="I6" s="280"/>
      <c r="J6" s="280"/>
      <c r="K6" s="278" t="s">
        <v>26</v>
      </c>
      <c r="L6" s="285" t="s">
        <v>53</v>
      </c>
      <c r="M6" s="329">
        <v>15628805</v>
      </c>
    </row>
    <row r="7" spans="1:14">
      <c r="A7" s="273">
        <v>45848</v>
      </c>
      <c r="B7" s="330"/>
      <c r="C7" s="331" t="s">
        <v>436</v>
      </c>
      <c r="D7" s="279">
        <v>21.306000000000001</v>
      </c>
      <c r="E7" s="271" t="s">
        <v>52</v>
      </c>
      <c r="F7" s="277" t="s">
        <v>51</v>
      </c>
      <c r="G7" s="279" t="s">
        <v>52</v>
      </c>
      <c r="H7" s="294"/>
      <c r="I7" s="294"/>
      <c r="J7" s="294"/>
      <c r="K7" s="278" t="s">
        <v>26</v>
      </c>
      <c r="L7" s="285" t="s">
        <v>53</v>
      </c>
      <c r="M7" s="329">
        <v>15654844</v>
      </c>
    </row>
    <row r="8" spans="1:14">
      <c r="A8" s="273">
        <v>45879</v>
      </c>
      <c r="B8" s="330"/>
      <c r="C8" s="363" t="s">
        <v>418</v>
      </c>
      <c r="D8" s="267">
        <v>117.6</v>
      </c>
      <c r="E8" s="270" t="s">
        <v>52</v>
      </c>
      <c r="F8" s="287" t="s">
        <v>51</v>
      </c>
      <c r="G8" s="267" t="s">
        <v>21</v>
      </c>
      <c r="H8" s="353"/>
      <c r="I8" s="354"/>
      <c r="J8" s="355"/>
      <c r="K8" s="356"/>
      <c r="L8" s="357" t="s">
        <v>53</v>
      </c>
      <c r="M8" s="358">
        <v>15666515</v>
      </c>
    </row>
    <row r="9" spans="1:14">
      <c r="A9" s="273">
        <v>45910</v>
      </c>
      <c r="B9" s="330"/>
      <c r="C9" s="326" t="s">
        <v>437</v>
      </c>
      <c r="D9" s="279">
        <v>86.397999999999996</v>
      </c>
      <c r="E9" s="271" t="s">
        <v>52</v>
      </c>
      <c r="F9" s="277" t="s">
        <v>51</v>
      </c>
      <c r="G9" s="279" t="s">
        <v>298</v>
      </c>
      <c r="H9" s="299"/>
      <c r="I9" s="300"/>
      <c r="J9" s="301"/>
      <c r="K9" s="278"/>
      <c r="L9" s="269" t="s">
        <v>53</v>
      </c>
      <c r="M9" s="329">
        <v>15674594</v>
      </c>
    </row>
    <row r="10" spans="1:14">
      <c r="A10" s="273">
        <v>45910</v>
      </c>
      <c r="B10" s="330" t="s">
        <v>438</v>
      </c>
      <c r="C10" s="343" t="s">
        <v>439</v>
      </c>
      <c r="D10" s="279">
        <v>77.188999999999993</v>
      </c>
      <c r="E10" s="271" t="s">
        <v>52</v>
      </c>
      <c r="F10" s="277" t="s">
        <v>51</v>
      </c>
      <c r="G10" s="279" t="s">
        <v>298</v>
      </c>
      <c r="H10" s="299"/>
      <c r="I10" s="300"/>
      <c r="J10" s="301"/>
      <c r="K10" s="278"/>
      <c r="L10" s="269" t="s">
        <v>53</v>
      </c>
      <c r="M10" s="329">
        <v>15678494</v>
      </c>
    </row>
    <row r="11" spans="1:14">
      <c r="A11" s="273">
        <v>45910</v>
      </c>
      <c r="B11" s="330" t="s">
        <v>440</v>
      </c>
      <c r="C11" s="343" t="s">
        <v>439</v>
      </c>
      <c r="D11" s="279">
        <v>33.15</v>
      </c>
      <c r="E11" s="271" t="s">
        <v>52</v>
      </c>
      <c r="F11" s="277" t="s">
        <v>51</v>
      </c>
      <c r="G11" s="279" t="s">
        <v>298</v>
      </c>
      <c r="H11" s="299"/>
      <c r="I11" s="300"/>
      <c r="J11" s="301"/>
      <c r="K11" s="278"/>
      <c r="L11" s="269" t="s">
        <v>53</v>
      </c>
      <c r="M11" s="329">
        <v>15677946</v>
      </c>
    </row>
    <row r="12" spans="1:14">
      <c r="A12" s="273">
        <v>45910</v>
      </c>
      <c r="B12" s="330" t="s">
        <v>440</v>
      </c>
      <c r="C12" s="343" t="s">
        <v>439</v>
      </c>
      <c r="D12" s="279">
        <v>12.723000000000001</v>
      </c>
      <c r="E12" s="271" t="s">
        <v>52</v>
      </c>
      <c r="F12" s="277" t="s">
        <v>51</v>
      </c>
      <c r="G12" s="279" t="s">
        <v>298</v>
      </c>
      <c r="H12" s="299"/>
      <c r="I12" s="300"/>
      <c r="J12" s="301"/>
      <c r="K12" s="278"/>
      <c r="L12" s="269" t="s">
        <v>53</v>
      </c>
      <c r="M12" s="329">
        <v>15676836</v>
      </c>
    </row>
    <row r="13" spans="1:14">
      <c r="A13" s="273">
        <v>46001</v>
      </c>
      <c r="B13" s="330" t="s">
        <v>438</v>
      </c>
      <c r="C13" s="343" t="s">
        <v>441</v>
      </c>
      <c r="D13" s="279">
        <v>6.5</v>
      </c>
      <c r="E13" s="271" t="s">
        <v>52</v>
      </c>
      <c r="F13" s="277" t="s">
        <v>51</v>
      </c>
      <c r="G13" s="279" t="s">
        <v>52</v>
      </c>
      <c r="H13" s="299"/>
      <c r="I13" s="300"/>
      <c r="J13" s="301"/>
      <c r="K13" s="278"/>
      <c r="L13" s="269" t="s">
        <v>53</v>
      </c>
      <c r="M13" s="329">
        <v>15705952</v>
      </c>
    </row>
    <row r="14" spans="1:14">
      <c r="A14" s="273" t="s">
        <v>442</v>
      </c>
      <c r="B14" s="326"/>
      <c r="C14" s="326" t="s">
        <v>443</v>
      </c>
      <c r="D14" s="279">
        <v>28.25</v>
      </c>
      <c r="E14" s="271" t="s">
        <v>52</v>
      </c>
      <c r="F14" s="277" t="s">
        <v>51</v>
      </c>
      <c r="G14" s="279" t="s">
        <v>52</v>
      </c>
      <c r="H14" s="281"/>
      <c r="I14" s="282"/>
      <c r="J14" s="283"/>
      <c r="K14" s="266" t="s">
        <v>26</v>
      </c>
      <c r="L14" s="269" t="s">
        <v>53</v>
      </c>
      <c r="M14" s="329">
        <v>15716342</v>
      </c>
    </row>
    <row r="15" spans="1:14">
      <c r="A15" s="273" t="s">
        <v>442</v>
      </c>
      <c r="B15" s="326"/>
      <c r="C15" s="363" t="s">
        <v>423</v>
      </c>
      <c r="D15" s="267">
        <v>25.05</v>
      </c>
      <c r="E15" s="270" t="s">
        <v>52</v>
      </c>
      <c r="F15" s="287" t="s">
        <v>51</v>
      </c>
      <c r="G15" s="267" t="s">
        <v>52</v>
      </c>
      <c r="H15" s="362"/>
      <c r="I15" s="362"/>
      <c r="J15" s="362"/>
      <c r="K15" s="356"/>
      <c r="L15" s="360" t="s">
        <v>53</v>
      </c>
      <c r="M15" s="389">
        <v>15717761</v>
      </c>
    </row>
    <row r="16" spans="1:14">
      <c r="A16" s="273" t="s">
        <v>442</v>
      </c>
      <c r="B16" s="326"/>
      <c r="C16" s="361" t="s">
        <v>444</v>
      </c>
      <c r="D16" s="267">
        <v>45.524999999999999</v>
      </c>
      <c r="E16" s="270" t="s">
        <v>52</v>
      </c>
      <c r="F16" s="287" t="s">
        <v>51</v>
      </c>
      <c r="G16" s="267" t="s">
        <v>52</v>
      </c>
      <c r="H16" s="362"/>
      <c r="I16" s="362"/>
      <c r="J16" s="362"/>
      <c r="K16" s="356"/>
      <c r="L16" s="360" t="s">
        <v>53</v>
      </c>
      <c r="M16" s="389">
        <v>15718575</v>
      </c>
    </row>
    <row r="17" spans="1:13">
      <c r="A17" s="334" t="s">
        <v>445</v>
      </c>
      <c r="B17" s="326"/>
      <c r="C17" s="362" t="s">
        <v>416</v>
      </c>
      <c r="D17" s="364">
        <v>1270.5</v>
      </c>
      <c r="E17" s="270" t="s">
        <v>52</v>
      </c>
      <c r="F17" s="287" t="s">
        <v>77</v>
      </c>
      <c r="G17" s="267" t="s">
        <v>21</v>
      </c>
      <c r="H17" s="362"/>
      <c r="I17" s="362"/>
      <c r="J17" s="362"/>
      <c r="K17" s="362"/>
      <c r="L17" s="360" t="s">
        <v>53</v>
      </c>
      <c r="M17" s="358">
        <v>15736585</v>
      </c>
    </row>
    <row r="18" spans="1:13">
      <c r="A18" s="273" t="s">
        <v>445</v>
      </c>
      <c r="B18" s="326"/>
      <c r="C18" s="363" t="s">
        <v>446</v>
      </c>
      <c r="D18" s="267">
        <v>147</v>
      </c>
      <c r="E18" s="270" t="s">
        <v>52</v>
      </c>
      <c r="F18" s="287" t="s">
        <v>51</v>
      </c>
      <c r="G18" s="267" t="s">
        <v>21</v>
      </c>
      <c r="H18" s="362"/>
      <c r="I18" s="362"/>
      <c r="J18" s="362"/>
      <c r="K18" s="356"/>
      <c r="L18" s="360" t="s">
        <v>53</v>
      </c>
      <c r="M18" s="358">
        <v>15740053</v>
      </c>
    </row>
    <row r="19" spans="1:13">
      <c r="A19" s="344" t="s">
        <v>447</v>
      </c>
      <c r="B19" s="345" t="s">
        <v>438</v>
      </c>
      <c r="C19" s="280" t="s">
        <v>448</v>
      </c>
      <c r="D19" s="332">
        <v>483</v>
      </c>
      <c r="E19" s="271" t="s">
        <v>52</v>
      </c>
      <c r="F19" s="277" t="s">
        <v>77</v>
      </c>
      <c r="G19" s="279" t="s">
        <v>21</v>
      </c>
      <c r="H19" s="280"/>
      <c r="I19" s="280"/>
      <c r="J19" s="280"/>
      <c r="K19" s="280"/>
      <c r="L19" s="285" t="s">
        <v>53</v>
      </c>
      <c r="M19" s="329">
        <v>15739632</v>
      </c>
    </row>
    <row r="20" spans="1:13">
      <c r="A20" s="334" t="s">
        <v>447</v>
      </c>
      <c r="B20" s="326"/>
      <c r="C20" s="326" t="s">
        <v>430</v>
      </c>
      <c r="D20" s="332">
        <v>1690.08</v>
      </c>
      <c r="E20" s="271" t="s">
        <v>52</v>
      </c>
      <c r="F20" s="277" t="s">
        <v>51</v>
      </c>
      <c r="G20" s="279" t="s">
        <v>21</v>
      </c>
      <c r="H20" s="280"/>
      <c r="I20" s="280"/>
      <c r="J20" s="280"/>
      <c r="K20" s="280"/>
      <c r="L20" s="285" t="s">
        <v>53</v>
      </c>
      <c r="M20" s="389">
        <v>15739033</v>
      </c>
    </row>
    <row r="21" spans="1:13">
      <c r="A21" s="334" t="s">
        <v>447</v>
      </c>
      <c r="B21" s="326"/>
      <c r="C21" s="326" t="s">
        <v>449</v>
      </c>
      <c r="D21" s="332">
        <v>11.05</v>
      </c>
      <c r="E21" s="271" t="s">
        <v>52</v>
      </c>
      <c r="F21" s="277" t="s">
        <v>51</v>
      </c>
      <c r="G21" s="279" t="s">
        <v>21</v>
      </c>
      <c r="H21" s="280"/>
      <c r="I21" s="280"/>
      <c r="J21" s="280"/>
      <c r="K21" s="280" t="s">
        <v>26</v>
      </c>
      <c r="L21" s="285" t="s">
        <v>53</v>
      </c>
      <c r="M21" s="329">
        <v>15747494</v>
      </c>
    </row>
    <row r="22" spans="1:13">
      <c r="A22" s="334" t="s">
        <v>447</v>
      </c>
      <c r="B22" s="326"/>
      <c r="C22" s="326" t="s">
        <v>450</v>
      </c>
      <c r="D22" s="332">
        <v>173.25</v>
      </c>
      <c r="E22" s="271" t="s">
        <v>52</v>
      </c>
      <c r="F22" s="277" t="s">
        <v>51</v>
      </c>
      <c r="G22" s="279" t="s">
        <v>21</v>
      </c>
      <c r="H22" s="280"/>
      <c r="I22" s="280"/>
      <c r="J22" s="280"/>
      <c r="K22" s="280" t="s">
        <v>26</v>
      </c>
      <c r="L22" s="285" t="s">
        <v>53</v>
      </c>
      <c r="M22" s="329">
        <v>15747724</v>
      </c>
    </row>
    <row r="23" spans="1:13">
      <c r="A23" s="334" t="s">
        <v>447</v>
      </c>
      <c r="B23" s="326"/>
      <c r="C23" s="363" t="s">
        <v>451</v>
      </c>
      <c r="D23" s="364">
        <v>477.75</v>
      </c>
      <c r="E23" s="270" t="s">
        <v>52</v>
      </c>
      <c r="F23" s="287" t="s">
        <v>51</v>
      </c>
      <c r="G23" s="267" t="s">
        <v>21</v>
      </c>
      <c r="H23" s="362"/>
      <c r="I23" s="362"/>
      <c r="J23" s="362"/>
      <c r="K23" s="362"/>
      <c r="L23" s="360" t="s">
        <v>53</v>
      </c>
      <c r="M23" s="389">
        <v>15739344</v>
      </c>
    </row>
    <row r="24" spans="1:13">
      <c r="A24" s="334" t="s">
        <v>452</v>
      </c>
      <c r="B24" s="326"/>
      <c r="C24" t="s">
        <v>453</v>
      </c>
      <c r="D24" s="332">
        <v>48.3</v>
      </c>
      <c r="E24" s="271" t="s">
        <v>52</v>
      </c>
      <c r="F24" s="277" t="s">
        <v>51</v>
      </c>
      <c r="G24" s="285" t="s">
        <v>52</v>
      </c>
      <c r="H24" s="280"/>
      <c r="I24" s="280"/>
      <c r="J24" s="280"/>
      <c r="K24" s="280" t="s">
        <v>26</v>
      </c>
      <c r="L24" s="285" t="s">
        <v>53</v>
      </c>
      <c r="M24" s="329">
        <v>15761962</v>
      </c>
    </row>
    <row r="25" spans="1:13">
      <c r="A25" s="334" t="s">
        <v>452</v>
      </c>
      <c r="B25" s="326"/>
      <c r="C25" s="326" t="s">
        <v>15</v>
      </c>
      <c r="D25" s="332">
        <v>51.45</v>
      </c>
      <c r="E25" s="271" t="s">
        <v>52</v>
      </c>
      <c r="F25" s="277" t="s">
        <v>51</v>
      </c>
      <c r="G25" s="285" t="s">
        <v>52</v>
      </c>
      <c r="H25" s="280"/>
      <c r="I25" s="280"/>
      <c r="J25" s="280"/>
      <c r="K25" s="280" t="s">
        <v>26</v>
      </c>
      <c r="L25" s="285" t="s">
        <v>53</v>
      </c>
      <c r="M25" s="329">
        <v>15761934</v>
      </c>
    </row>
    <row r="26" spans="1:13">
      <c r="A26" s="334" t="s">
        <v>452</v>
      </c>
      <c r="B26" s="326"/>
      <c r="C26" s="326" t="s">
        <v>454</v>
      </c>
      <c r="D26" s="332">
        <v>1029</v>
      </c>
      <c r="E26" s="271" t="s">
        <v>52</v>
      </c>
      <c r="F26" s="277" t="s">
        <v>51</v>
      </c>
      <c r="G26" s="285" t="s">
        <v>21</v>
      </c>
      <c r="H26" s="280"/>
      <c r="I26" s="280"/>
      <c r="J26" s="280"/>
      <c r="K26" s="280" t="s">
        <v>26</v>
      </c>
      <c r="L26" s="285" t="s">
        <v>53</v>
      </c>
      <c r="M26" s="329">
        <v>15762164</v>
      </c>
    </row>
    <row r="27" spans="1:13">
      <c r="A27" s="334" t="s">
        <v>452</v>
      </c>
      <c r="B27" s="326"/>
      <c r="C27" s="280" t="s">
        <v>455</v>
      </c>
      <c r="D27" s="332">
        <v>25</v>
      </c>
      <c r="E27" s="271" t="s">
        <v>52</v>
      </c>
      <c r="F27" s="277" t="s">
        <v>51</v>
      </c>
      <c r="G27" s="285" t="s">
        <v>52</v>
      </c>
      <c r="H27" s="280"/>
      <c r="I27" s="280"/>
      <c r="J27" s="280"/>
      <c r="K27" s="280" t="s">
        <v>26</v>
      </c>
      <c r="L27" s="285" t="s">
        <v>53</v>
      </c>
      <c r="M27" s="329">
        <v>15764748</v>
      </c>
    </row>
    <row r="28" spans="1:13">
      <c r="A28" s="334" t="s">
        <v>452</v>
      </c>
      <c r="B28" s="326" t="s">
        <v>456</v>
      </c>
      <c r="C28" s="394" t="s">
        <v>457</v>
      </c>
      <c r="D28" s="332">
        <v>178.41</v>
      </c>
      <c r="E28" s="271" t="s">
        <v>52</v>
      </c>
      <c r="F28" s="277" t="s">
        <v>51</v>
      </c>
      <c r="G28" s="333" t="s">
        <v>21</v>
      </c>
      <c r="H28" s="280"/>
      <c r="I28" s="280"/>
      <c r="J28" s="280"/>
      <c r="K28" s="280" t="s">
        <v>26</v>
      </c>
      <c r="L28" s="285" t="s">
        <v>53</v>
      </c>
      <c r="M28" s="329">
        <v>15760699</v>
      </c>
    </row>
    <row r="29" spans="1:13">
      <c r="A29" s="334" t="s">
        <v>452</v>
      </c>
      <c r="B29" s="326"/>
      <c r="C29" s="363" t="s">
        <v>30</v>
      </c>
      <c r="D29" s="364">
        <v>55.1</v>
      </c>
      <c r="E29" s="270" t="s">
        <v>52</v>
      </c>
      <c r="F29" s="287" t="s">
        <v>51</v>
      </c>
      <c r="G29" s="267" t="s">
        <v>21</v>
      </c>
      <c r="H29" s="362"/>
      <c r="I29" s="362"/>
      <c r="J29" s="362"/>
      <c r="K29" s="362"/>
      <c r="L29" s="360" t="s">
        <v>53</v>
      </c>
      <c r="M29" s="389">
        <v>15760276</v>
      </c>
    </row>
    <row r="30" spans="1:13">
      <c r="A30" s="334" t="s">
        <v>458</v>
      </c>
      <c r="B30" s="326"/>
      <c r="C30" s="280" t="s">
        <v>459</v>
      </c>
      <c r="D30" s="332">
        <v>1375.5</v>
      </c>
      <c r="E30" s="271" t="s">
        <v>52</v>
      </c>
      <c r="F30" s="277" t="s">
        <v>51</v>
      </c>
      <c r="G30" s="333" t="s">
        <v>21</v>
      </c>
      <c r="H30" s="280"/>
      <c r="I30" s="280"/>
      <c r="J30" s="280"/>
      <c r="K30" s="280"/>
      <c r="L30" s="285" t="s">
        <v>53</v>
      </c>
      <c r="M30" s="329">
        <v>15782757</v>
      </c>
    </row>
    <row r="31" spans="1:13">
      <c r="A31" s="334" t="s">
        <v>458</v>
      </c>
      <c r="B31" s="326"/>
      <c r="C31" s="326" t="s">
        <v>450</v>
      </c>
      <c r="D31" s="332">
        <v>292.95</v>
      </c>
      <c r="E31" s="271" t="s">
        <v>52</v>
      </c>
      <c r="F31" s="277" t="s">
        <v>51</v>
      </c>
      <c r="G31" s="333" t="s">
        <v>21</v>
      </c>
      <c r="H31" s="280"/>
      <c r="I31" s="280"/>
      <c r="J31" s="280"/>
      <c r="K31" s="280" t="s">
        <v>26</v>
      </c>
      <c r="L31" s="285" t="s">
        <v>53</v>
      </c>
      <c r="M31" s="329">
        <v>15782871</v>
      </c>
    </row>
    <row r="32" spans="1:13">
      <c r="A32" s="334" t="s">
        <v>460</v>
      </c>
      <c r="B32" s="280"/>
      <c r="C32" s="362" t="s">
        <v>418</v>
      </c>
      <c r="D32" s="364">
        <v>73.5</v>
      </c>
      <c r="E32" s="270" t="s">
        <v>52</v>
      </c>
      <c r="F32" s="287" t="s">
        <v>51</v>
      </c>
      <c r="G32" s="365" t="s">
        <v>21</v>
      </c>
      <c r="H32" s="362"/>
      <c r="I32" s="362"/>
      <c r="J32" s="362"/>
      <c r="K32" s="362"/>
      <c r="L32" s="360" t="s">
        <v>53</v>
      </c>
      <c r="M32" s="358">
        <v>15802423</v>
      </c>
    </row>
    <row r="33" spans="1:13">
      <c r="A33" s="334" t="s">
        <v>460</v>
      </c>
      <c r="B33" s="326"/>
      <c r="C33" s="363" t="s">
        <v>430</v>
      </c>
      <c r="D33" s="364">
        <v>512.82000000000005</v>
      </c>
      <c r="E33" s="270" t="s">
        <v>52</v>
      </c>
      <c r="F33" s="287" t="s">
        <v>51</v>
      </c>
      <c r="G33" s="365" t="s">
        <v>21</v>
      </c>
      <c r="H33" s="362"/>
      <c r="I33" s="362"/>
      <c r="J33" s="362"/>
      <c r="K33" s="362"/>
      <c r="L33" s="360" t="s">
        <v>53</v>
      </c>
      <c r="M33" s="389">
        <v>15800983</v>
      </c>
    </row>
    <row r="34" spans="1:13">
      <c r="A34" s="344" t="s">
        <v>460</v>
      </c>
      <c r="B34" s="345" t="s">
        <v>438</v>
      </c>
      <c r="C34" s="343" t="s">
        <v>441</v>
      </c>
      <c r="D34" s="332">
        <v>32.25</v>
      </c>
      <c r="E34" s="271" t="s">
        <v>52</v>
      </c>
      <c r="F34" s="277" t="s">
        <v>51</v>
      </c>
      <c r="G34" s="333" t="s">
        <v>52</v>
      </c>
      <c r="H34" s="280"/>
      <c r="I34" s="280"/>
      <c r="J34" s="280"/>
      <c r="K34" s="280"/>
      <c r="L34" s="285" t="s">
        <v>53</v>
      </c>
      <c r="M34" s="329">
        <v>15802615</v>
      </c>
    </row>
    <row r="35" spans="1:13">
      <c r="A35" s="334" t="s">
        <v>460</v>
      </c>
      <c r="B35" s="326"/>
      <c r="C35" s="326" t="s">
        <v>461</v>
      </c>
      <c r="D35" s="332">
        <v>160.125</v>
      </c>
      <c r="E35" s="271" t="s">
        <v>52</v>
      </c>
      <c r="F35" s="277" t="s">
        <v>51</v>
      </c>
      <c r="G35" s="333" t="s">
        <v>21</v>
      </c>
      <c r="H35" s="280"/>
      <c r="I35" s="280"/>
      <c r="J35" s="280"/>
      <c r="K35" s="280" t="s">
        <v>26</v>
      </c>
      <c r="L35" s="285" t="s">
        <v>53</v>
      </c>
      <c r="M35" s="329">
        <v>15801117</v>
      </c>
    </row>
    <row r="36" spans="1:13">
      <c r="A36" s="334" t="s">
        <v>460</v>
      </c>
      <c r="B36" s="326"/>
      <c r="C36" s="363" t="s">
        <v>429</v>
      </c>
      <c r="D36" s="364">
        <v>367.5</v>
      </c>
      <c r="E36" s="270" t="s">
        <v>52</v>
      </c>
      <c r="F36" s="287" t="s">
        <v>51</v>
      </c>
      <c r="G36" s="365" t="s">
        <v>21</v>
      </c>
      <c r="H36" s="362"/>
      <c r="I36" s="362"/>
      <c r="J36" s="362"/>
      <c r="K36" s="362"/>
      <c r="L36" s="360" t="s">
        <v>53</v>
      </c>
      <c r="M36" s="389">
        <v>15801551</v>
      </c>
    </row>
    <row r="37" spans="1:13">
      <c r="A37" s="334" t="s">
        <v>460</v>
      </c>
      <c r="B37" s="326"/>
      <c r="C37" s="326" t="s">
        <v>462</v>
      </c>
      <c r="D37" s="332">
        <v>341.25</v>
      </c>
      <c r="E37" s="271" t="s">
        <v>52</v>
      </c>
      <c r="F37" s="277" t="s">
        <v>51</v>
      </c>
      <c r="G37" s="333" t="s">
        <v>21</v>
      </c>
      <c r="H37" s="280"/>
      <c r="I37" s="280"/>
      <c r="J37" s="280"/>
      <c r="K37" s="280"/>
      <c r="L37" s="285" t="s">
        <v>53</v>
      </c>
      <c r="M37" s="329">
        <v>15801707</v>
      </c>
    </row>
    <row r="38" spans="1:13">
      <c r="A38" s="334" t="s">
        <v>460</v>
      </c>
      <c r="B38" s="280"/>
      <c r="C38" s="362" t="s">
        <v>463</v>
      </c>
      <c r="D38" s="364">
        <v>1134</v>
      </c>
      <c r="E38" s="270" t="s">
        <v>52</v>
      </c>
      <c r="F38" s="287" t="s">
        <v>51</v>
      </c>
      <c r="G38" s="365" t="s">
        <v>21</v>
      </c>
      <c r="H38" s="362"/>
      <c r="I38" s="362"/>
      <c r="J38" s="362"/>
      <c r="K38" s="362" t="s">
        <v>26</v>
      </c>
      <c r="L38" s="360" t="s">
        <v>53</v>
      </c>
      <c r="M38" s="358">
        <v>15802043</v>
      </c>
    </row>
    <row r="39" spans="1:13">
      <c r="A39" s="334" t="s">
        <v>460</v>
      </c>
      <c r="B39" s="326"/>
      <c r="C39" s="363" t="s">
        <v>464</v>
      </c>
      <c r="D39" s="364">
        <v>572.25</v>
      </c>
      <c r="E39" s="270" t="s">
        <v>52</v>
      </c>
      <c r="F39" s="287" t="s">
        <v>51</v>
      </c>
      <c r="G39" s="365" t="s">
        <v>21</v>
      </c>
      <c r="H39" s="362"/>
      <c r="I39" s="362"/>
      <c r="J39" s="362"/>
      <c r="K39" s="362"/>
      <c r="L39" s="360" t="s">
        <v>53</v>
      </c>
      <c r="M39" s="358">
        <v>15800855</v>
      </c>
    </row>
    <row r="40" spans="1:13">
      <c r="A40" s="335" t="s">
        <v>465</v>
      </c>
      <c r="B40" s="311"/>
      <c r="C40" s="366" t="s">
        <v>466</v>
      </c>
      <c r="D40" s="367">
        <v>44.1</v>
      </c>
      <c r="E40" s="368" t="s">
        <v>52</v>
      </c>
      <c r="F40" s="369" t="s">
        <v>51</v>
      </c>
      <c r="G40" s="371" t="s">
        <v>52</v>
      </c>
      <c r="H40" s="370"/>
      <c r="I40" s="370"/>
      <c r="J40" s="370"/>
      <c r="K40" s="370"/>
      <c r="L40" s="371" t="s">
        <v>53</v>
      </c>
      <c r="M40" s="372">
        <v>15806922</v>
      </c>
    </row>
    <row r="41" spans="1:13">
      <c r="A41" s="334" t="s">
        <v>465</v>
      </c>
      <c r="B41" s="326"/>
      <c r="C41" s="363" t="s">
        <v>466</v>
      </c>
      <c r="D41" s="364">
        <v>50</v>
      </c>
      <c r="E41" s="270" t="s">
        <v>52</v>
      </c>
      <c r="F41" s="287" t="s">
        <v>51</v>
      </c>
      <c r="G41" s="360" t="s">
        <v>52</v>
      </c>
      <c r="H41" s="362"/>
      <c r="I41" s="362"/>
      <c r="J41" s="362"/>
      <c r="K41" s="362"/>
      <c r="L41" s="371" t="s">
        <v>53</v>
      </c>
      <c r="M41" s="391">
        <v>15806966</v>
      </c>
    </row>
    <row r="42" spans="1:13">
      <c r="A42" s="334" t="s">
        <v>465</v>
      </c>
      <c r="B42" s="326"/>
      <c r="C42" s="327" t="s">
        <v>467</v>
      </c>
      <c r="D42" s="332">
        <v>425.25</v>
      </c>
      <c r="E42" s="271" t="s">
        <v>52</v>
      </c>
      <c r="F42" s="277" t="s">
        <v>51</v>
      </c>
      <c r="G42" s="333" t="s">
        <v>21</v>
      </c>
      <c r="H42" s="280"/>
      <c r="I42" s="280"/>
      <c r="J42" s="280"/>
      <c r="K42" s="280"/>
      <c r="L42" s="341" t="s">
        <v>53</v>
      </c>
      <c r="M42" s="398">
        <v>15806901</v>
      </c>
    </row>
    <row r="43" spans="1:13">
      <c r="A43" s="334" t="s">
        <v>465</v>
      </c>
      <c r="B43" s="326"/>
      <c r="C43" s="363" t="s">
        <v>423</v>
      </c>
      <c r="D43" s="364">
        <v>45.5</v>
      </c>
      <c r="E43" s="270" t="s">
        <v>52</v>
      </c>
      <c r="F43" s="287" t="s">
        <v>51</v>
      </c>
      <c r="G43" s="360" t="s">
        <v>52</v>
      </c>
      <c r="H43" s="362"/>
      <c r="I43" s="362"/>
      <c r="J43" s="362"/>
      <c r="K43" s="362"/>
      <c r="L43" s="371" t="s">
        <v>53</v>
      </c>
      <c r="M43" s="389">
        <v>15807500</v>
      </c>
    </row>
    <row r="44" spans="1:13">
      <c r="A44" s="334" t="s">
        <v>465</v>
      </c>
      <c r="B44" s="326"/>
      <c r="C44" s="363" t="s">
        <v>468</v>
      </c>
      <c r="D44" s="364">
        <v>554.4</v>
      </c>
      <c r="E44" s="270" t="s">
        <v>52</v>
      </c>
      <c r="F44" s="287" t="s">
        <v>51</v>
      </c>
      <c r="G44" s="365" t="s">
        <v>21</v>
      </c>
      <c r="H44" s="362"/>
      <c r="I44" s="362"/>
      <c r="J44" s="362"/>
      <c r="K44" s="362"/>
      <c r="L44" s="371" t="s">
        <v>53</v>
      </c>
      <c r="M44" s="391">
        <v>15813512</v>
      </c>
    </row>
    <row r="45" spans="1:13">
      <c r="A45" s="334" t="s">
        <v>469</v>
      </c>
      <c r="B45" s="326"/>
      <c r="C45" s="326" t="s">
        <v>470</v>
      </c>
      <c r="D45" s="332">
        <v>325.5</v>
      </c>
      <c r="E45" s="271" t="s">
        <v>52</v>
      </c>
      <c r="F45" s="277" t="s">
        <v>51</v>
      </c>
      <c r="G45" s="333" t="s">
        <v>21</v>
      </c>
      <c r="H45" s="280"/>
      <c r="I45" s="280"/>
      <c r="J45" s="280"/>
      <c r="K45" s="280"/>
      <c r="L45" s="341" t="s">
        <v>53</v>
      </c>
      <c r="M45" s="398">
        <v>15817998</v>
      </c>
    </row>
    <row r="46" spans="1:13">
      <c r="A46" s="334" t="s">
        <v>471</v>
      </c>
      <c r="B46" s="326"/>
      <c r="C46" s="363" t="s">
        <v>429</v>
      </c>
      <c r="D46" s="364">
        <v>27.574999999999999</v>
      </c>
      <c r="E46" s="270" t="s">
        <v>52</v>
      </c>
      <c r="F46" s="287" t="s">
        <v>51</v>
      </c>
      <c r="G46" s="365" t="s">
        <v>52</v>
      </c>
      <c r="H46" s="362"/>
      <c r="I46" s="362"/>
      <c r="J46" s="362"/>
      <c r="K46" s="362"/>
      <c r="L46" s="371" t="s">
        <v>53</v>
      </c>
      <c r="M46" s="401">
        <v>15848079</v>
      </c>
    </row>
    <row r="47" spans="1:13">
      <c r="A47" s="334" t="s">
        <v>471</v>
      </c>
      <c r="B47" s="326"/>
      <c r="C47" s="363" t="s">
        <v>429</v>
      </c>
      <c r="D47" s="364">
        <v>27.574999999999999</v>
      </c>
      <c r="E47" s="270" t="s">
        <v>52</v>
      </c>
      <c r="F47" s="287" t="s">
        <v>51</v>
      </c>
      <c r="G47" s="365" t="s">
        <v>52</v>
      </c>
      <c r="H47" s="362"/>
      <c r="I47" s="362"/>
      <c r="J47" s="362"/>
      <c r="K47" s="362"/>
      <c r="L47" s="371" t="s">
        <v>53</v>
      </c>
      <c r="M47" s="401">
        <v>15847936</v>
      </c>
    </row>
    <row r="48" spans="1:13">
      <c r="A48" s="334" t="s">
        <v>471</v>
      </c>
      <c r="B48" s="326"/>
      <c r="C48" s="326" t="s">
        <v>472</v>
      </c>
      <c r="D48" s="332">
        <v>7</v>
      </c>
      <c r="E48" s="271" t="s">
        <v>52</v>
      </c>
      <c r="F48" s="277" t="s">
        <v>51</v>
      </c>
      <c r="G48" s="333" t="s">
        <v>52</v>
      </c>
      <c r="H48" s="280"/>
      <c r="I48" s="280"/>
      <c r="J48" s="280"/>
      <c r="K48" s="280"/>
      <c r="L48" s="285" t="s">
        <v>53</v>
      </c>
      <c r="M48" s="329">
        <v>15845661</v>
      </c>
    </row>
    <row r="49" spans="1:14">
      <c r="A49" s="335" t="s">
        <v>471</v>
      </c>
      <c r="B49" s="336"/>
      <c r="C49" s="336" t="s">
        <v>473</v>
      </c>
      <c r="D49" s="337">
        <v>125.47499999999999</v>
      </c>
      <c r="E49" s="338" t="s">
        <v>52</v>
      </c>
      <c r="F49" s="339" t="s">
        <v>51</v>
      </c>
      <c r="G49" s="340" t="s">
        <v>52</v>
      </c>
      <c r="H49" s="311"/>
      <c r="I49" s="311"/>
      <c r="J49" s="311"/>
      <c r="K49" s="311"/>
      <c r="L49" s="341" t="s">
        <v>53</v>
      </c>
      <c r="M49" s="342">
        <v>15846542</v>
      </c>
    </row>
    <row r="50" spans="1:14">
      <c r="A50" s="335" t="s">
        <v>471</v>
      </c>
      <c r="B50" s="336"/>
      <c r="C50" s="336" t="s">
        <v>474</v>
      </c>
      <c r="D50" s="337">
        <v>268.96100000000001</v>
      </c>
      <c r="E50" s="338" t="s">
        <v>52</v>
      </c>
      <c r="F50" s="339" t="s">
        <v>51</v>
      </c>
      <c r="G50" s="340" t="s">
        <v>276</v>
      </c>
      <c r="H50" s="311"/>
      <c r="I50" s="311"/>
      <c r="J50" s="311"/>
      <c r="K50" s="311"/>
      <c r="L50" s="341" t="s">
        <v>53</v>
      </c>
      <c r="M50" s="398">
        <v>15846706</v>
      </c>
    </row>
    <row r="51" spans="1:14">
      <c r="A51" s="334" t="s">
        <v>471</v>
      </c>
      <c r="B51" s="326"/>
      <c r="C51" s="326" t="s">
        <v>475</v>
      </c>
      <c r="D51" s="332">
        <v>254.98</v>
      </c>
      <c r="E51" s="271" t="s">
        <v>52</v>
      </c>
      <c r="F51" s="277" t="s">
        <v>51</v>
      </c>
      <c r="G51" s="333" t="s">
        <v>276</v>
      </c>
      <c r="H51" s="280"/>
      <c r="I51" s="280"/>
      <c r="J51" s="280"/>
      <c r="K51" s="280"/>
      <c r="L51" s="285" t="s">
        <v>53</v>
      </c>
      <c r="M51" s="329">
        <v>15847328</v>
      </c>
    </row>
    <row r="52" spans="1:14">
      <c r="A52" s="334" t="s">
        <v>471</v>
      </c>
      <c r="B52" s="326"/>
      <c r="C52" s="326" t="s">
        <v>476</v>
      </c>
      <c r="D52" s="332">
        <v>92.947999999999993</v>
      </c>
      <c r="E52" s="271" t="s">
        <v>52</v>
      </c>
      <c r="F52" s="277" t="s">
        <v>51</v>
      </c>
      <c r="G52" s="333" t="s">
        <v>276</v>
      </c>
      <c r="H52" s="280"/>
      <c r="I52" s="280"/>
      <c r="J52" s="280"/>
      <c r="K52" s="280"/>
      <c r="L52" s="285" t="s">
        <v>53</v>
      </c>
      <c r="M52" s="8">
        <v>15848894</v>
      </c>
      <c r="N52" t="s">
        <v>477</v>
      </c>
    </row>
    <row r="53" spans="1:14">
      <c r="A53" s="334" t="s">
        <v>471</v>
      </c>
      <c r="B53" s="326"/>
      <c r="C53" s="347" t="s">
        <v>478</v>
      </c>
      <c r="D53" s="396">
        <v>21</v>
      </c>
      <c r="E53" s="271" t="s">
        <v>52</v>
      </c>
      <c r="F53" s="339" t="s">
        <v>51</v>
      </c>
      <c r="G53" s="333" t="s">
        <v>52</v>
      </c>
      <c r="H53" s="280"/>
      <c r="I53" s="280"/>
      <c r="J53" s="280"/>
      <c r="K53" s="280"/>
      <c r="L53" s="285" t="s">
        <v>53</v>
      </c>
      <c r="M53" s="8">
        <v>15847155</v>
      </c>
    </row>
    <row r="54" spans="1:14">
      <c r="A54" s="334" t="s">
        <v>471</v>
      </c>
      <c r="B54" s="393"/>
      <c r="C54" s="347" t="s">
        <v>478</v>
      </c>
      <c r="D54" s="396">
        <v>11.8</v>
      </c>
      <c r="E54" s="303" t="s">
        <v>52</v>
      </c>
      <c r="F54" s="351" t="s">
        <v>51</v>
      </c>
      <c r="G54" s="350" t="s">
        <v>52</v>
      </c>
      <c r="H54" s="280"/>
      <c r="I54" s="280"/>
      <c r="J54" s="280"/>
      <c r="K54" s="280"/>
      <c r="L54" s="285" t="s">
        <v>53</v>
      </c>
      <c r="M54" s="8">
        <v>15847155</v>
      </c>
    </row>
    <row r="55" spans="1:14">
      <c r="A55" s="348" t="s">
        <v>479</v>
      </c>
      <c r="B55" s="393"/>
      <c r="C55" s="347" t="s">
        <v>416</v>
      </c>
      <c r="D55" s="396">
        <v>36</v>
      </c>
      <c r="E55" s="392" t="s">
        <v>52</v>
      </c>
      <c r="F55" s="339" t="s">
        <v>51</v>
      </c>
      <c r="G55" s="397" t="s">
        <v>52</v>
      </c>
      <c r="H55" s="280"/>
      <c r="I55" s="280"/>
      <c r="J55" s="280"/>
      <c r="K55" s="280"/>
      <c r="L55" s="285" t="s">
        <v>53</v>
      </c>
      <c r="M55" s="399" t="s">
        <v>480</v>
      </c>
    </row>
    <row r="56" spans="1:14">
      <c r="A56" s="334" t="s">
        <v>479</v>
      </c>
      <c r="B56" s="393"/>
      <c r="C56" s="363" t="s">
        <v>481</v>
      </c>
      <c r="D56" s="364">
        <v>173.25</v>
      </c>
      <c r="E56" s="270" t="s">
        <v>52</v>
      </c>
      <c r="F56" s="287" t="s">
        <v>51</v>
      </c>
      <c r="G56" s="365" t="s">
        <v>21</v>
      </c>
      <c r="H56" s="362"/>
      <c r="I56" s="362"/>
      <c r="J56" s="362"/>
      <c r="K56" s="362"/>
      <c r="L56" s="360" t="s">
        <v>53</v>
      </c>
      <c r="M56" s="391">
        <v>15856255</v>
      </c>
    </row>
    <row r="57" spans="1:14">
      <c r="A57" s="348" t="s">
        <v>479</v>
      </c>
      <c r="B57" s="393"/>
      <c r="C57" s="326" t="s">
        <v>482</v>
      </c>
      <c r="D57" s="396">
        <v>70.5</v>
      </c>
      <c r="E57" s="392" t="s">
        <v>52</v>
      </c>
      <c r="F57" s="339" t="s">
        <v>51</v>
      </c>
      <c r="G57" s="397" t="s">
        <v>52</v>
      </c>
      <c r="H57" s="280"/>
      <c r="I57" s="280"/>
      <c r="J57" s="280"/>
      <c r="K57" s="280"/>
      <c r="L57" s="285" t="s">
        <v>53</v>
      </c>
      <c r="M57" s="398">
        <v>15857459</v>
      </c>
    </row>
    <row r="58" spans="1:14">
      <c r="A58" s="349">
        <v>45958</v>
      </c>
      <c r="B58" s="393"/>
      <c r="C58" s="326" t="s">
        <v>309</v>
      </c>
      <c r="D58" s="396">
        <v>38.85</v>
      </c>
      <c r="E58" s="392" t="s">
        <v>52</v>
      </c>
      <c r="F58" s="339" t="s">
        <v>51</v>
      </c>
      <c r="G58" s="365" t="s">
        <v>21</v>
      </c>
      <c r="H58" s="280"/>
      <c r="I58" s="280"/>
      <c r="J58" s="280"/>
      <c r="K58" s="280"/>
      <c r="L58" s="285" t="s">
        <v>53</v>
      </c>
      <c r="M58" s="8">
        <v>15867727</v>
      </c>
    </row>
    <row r="59" spans="1:14">
      <c r="A59" s="349">
        <v>45958</v>
      </c>
      <c r="B59" s="393"/>
      <c r="C59" s="363" t="s">
        <v>468</v>
      </c>
      <c r="D59" s="396">
        <v>210</v>
      </c>
      <c r="E59" s="270" t="s">
        <v>52</v>
      </c>
      <c r="F59" s="287" t="s">
        <v>51</v>
      </c>
      <c r="G59" s="365" t="s">
        <v>21</v>
      </c>
      <c r="H59" s="280"/>
      <c r="I59" s="280"/>
      <c r="J59" s="280"/>
      <c r="K59" s="280"/>
      <c r="L59" s="285" t="s">
        <v>53</v>
      </c>
      <c r="M59" s="400" t="s">
        <v>483</v>
      </c>
    </row>
    <row r="60" spans="1:14">
      <c r="A60" s="349">
        <v>45959</v>
      </c>
      <c r="B60" s="280"/>
      <c r="C60" s="363" t="s">
        <v>484</v>
      </c>
      <c r="D60" s="364">
        <v>530</v>
      </c>
      <c r="E60" s="270" t="s">
        <v>52</v>
      </c>
      <c r="F60" s="287" t="s">
        <v>485</v>
      </c>
      <c r="G60" s="365" t="s">
        <v>52</v>
      </c>
      <c r="H60" s="362"/>
      <c r="I60" s="362"/>
      <c r="J60" s="362"/>
      <c r="K60" s="362"/>
      <c r="L60" s="360" t="s">
        <v>53</v>
      </c>
      <c r="M60" s="390" t="s">
        <v>486</v>
      </c>
    </row>
    <row r="61" spans="1:14">
      <c r="A61" s="349">
        <v>45959</v>
      </c>
      <c r="B61" s="280"/>
      <c r="C61" s="326" t="s">
        <v>487</v>
      </c>
      <c r="D61" s="395">
        <v>604.27499999999998</v>
      </c>
      <c r="E61" s="271" t="s">
        <v>52</v>
      </c>
      <c r="F61" s="277" t="s">
        <v>283</v>
      </c>
      <c r="G61" s="333" t="s">
        <v>52</v>
      </c>
      <c r="H61" s="280"/>
      <c r="I61" s="280"/>
      <c r="J61" s="280"/>
      <c r="K61" s="280"/>
      <c r="L61" s="285" t="s">
        <v>53</v>
      </c>
      <c r="M61" s="329">
        <v>15880940</v>
      </c>
    </row>
    <row r="62" spans="1:14">
      <c r="A62" s="349">
        <v>45959</v>
      </c>
      <c r="B62" s="280"/>
      <c r="C62" s="326" t="s">
        <v>101</v>
      </c>
      <c r="D62" s="395">
        <v>15.13</v>
      </c>
      <c r="E62" s="271" t="s">
        <v>101</v>
      </c>
      <c r="F62" s="287" t="s">
        <v>51</v>
      </c>
      <c r="G62" s="271" t="s">
        <v>101</v>
      </c>
      <c r="H62" s="280"/>
      <c r="I62" s="280"/>
      <c r="J62" s="280"/>
      <c r="K62" s="280"/>
      <c r="L62" s="285" t="s">
        <v>53</v>
      </c>
      <c r="M62" s="329">
        <v>15894934</v>
      </c>
    </row>
    <row r="63" spans="1:14">
      <c r="A63" s="349">
        <v>45960</v>
      </c>
      <c r="B63" s="280"/>
      <c r="C63" s="363" t="s">
        <v>429</v>
      </c>
      <c r="D63" s="364">
        <v>27.574999999999999</v>
      </c>
      <c r="E63" s="270" t="s">
        <v>52</v>
      </c>
      <c r="F63" s="287" t="s">
        <v>51</v>
      </c>
      <c r="G63" s="365" t="s">
        <v>52</v>
      </c>
      <c r="H63" s="362"/>
      <c r="I63" s="362"/>
      <c r="J63" s="362"/>
      <c r="K63" s="362"/>
      <c r="L63" s="360" t="s">
        <v>53</v>
      </c>
      <c r="M63" s="329">
        <v>15894088</v>
      </c>
    </row>
    <row r="64" spans="1:14">
      <c r="A64" s="349">
        <v>45960</v>
      </c>
      <c r="B64" s="280"/>
      <c r="C64" s="363" t="s">
        <v>488</v>
      </c>
      <c r="D64" s="395">
        <v>6.6</v>
      </c>
      <c r="E64" s="271" t="s">
        <v>101</v>
      </c>
      <c r="F64" s="287" t="s">
        <v>51</v>
      </c>
      <c r="G64" s="271" t="s">
        <v>101</v>
      </c>
      <c r="H64" s="280"/>
      <c r="I64" s="280"/>
      <c r="J64" s="280"/>
      <c r="K64" s="280"/>
      <c r="L64" s="285" t="s">
        <v>53</v>
      </c>
      <c r="M64" s="329">
        <v>15891869</v>
      </c>
    </row>
    <row r="65" spans="4:4">
      <c r="D65" s="190">
        <f>SUM(D2:D64)</f>
        <v>15145.27</v>
      </c>
    </row>
    <row r="66" spans="4:4">
      <c r="D66" s="328"/>
    </row>
    <row r="67" spans="4:4">
      <c r="D67" s="328"/>
    </row>
    <row r="68" spans="4:4">
      <c r="D68" s="328"/>
    </row>
    <row r="69" spans="4:4">
      <c r="D69" s="328"/>
    </row>
    <row r="70" spans="4:4">
      <c r="D70" s="328"/>
    </row>
    <row r="71" spans="4:4">
      <c r="D71" s="328"/>
    </row>
    <row r="72" spans="4:4">
      <c r="D72" s="328"/>
    </row>
    <row r="73" spans="4:4">
      <c r="D73" s="328"/>
    </row>
    <row r="74" spans="4:4">
      <c r="D74" s="328"/>
    </row>
    <row r="75" spans="4:4">
      <c r="D75" s="328"/>
    </row>
    <row r="76" spans="4:4">
      <c r="D76" s="328"/>
    </row>
    <row r="77" spans="4:4">
      <c r="D77" s="328"/>
    </row>
  </sheetData>
  <autoFilter ref="A1:M65" xr:uid="{54C7E4A2-D5DD-42C9-9E17-5BB638B5E359}"/>
  <hyperlinks>
    <hyperlink ref="M3" r:id="rId1" display="https://hub.floward.io/order/15595654" xr:uid="{975682B4-C3D5-4EBE-A27A-C7CD64B7E4DB}"/>
    <hyperlink ref="M2" r:id="rId2" display="https://hub.floward.io/order/15593283" xr:uid="{633AEAB8-A924-41B1-8E17-540731878814}"/>
    <hyperlink ref="M6" r:id="rId3" display="15628805" xr:uid="{A324F9D5-FE91-4CCA-BD7F-0E5DEDEB8F5D}"/>
    <hyperlink ref="M4" r:id="rId4" display="15634089" xr:uid="{7753F627-0498-40F7-B5C4-A4E6A1E5D6C3}"/>
    <hyperlink ref="M7" r:id="rId5" display="15654844" xr:uid="{CFD67DC3-DEB9-464E-BBF2-E15EB13774A1}"/>
    <hyperlink ref="M8" r:id="rId6" display="15666515" xr:uid="{CBD4748D-A031-444E-9987-98F492143F9E}"/>
    <hyperlink ref="M9" r:id="rId7" display="15674594" xr:uid="{07A17C19-9F50-41D5-87AA-FD5F6FA8FA7D}"/>
    <hyperlink ref="M14" r:id="rId8" display="15716342" xr:uid="{4F0165FB-BEBB-4F26-BEE2-843CABE44129}"/>
    <hyperlink ref="M15" r:id="rId9" display="15717761" xr:uid="{D5305741-7D4C-47D0-A9E2-A5DA70BCD6CA}"/>
    <hyperlink ref="M16" r:id="rId10" display="15718575" xr:uid="{20D02CAE-DF9B-4BAC-A7E0-19E51578FCA2}"/>
    <hyperlink ref="M18" r:id="rId11" display="15740053" xr:uid="{EF080EA3-B8F5-403B-AD6D-CD1417564718}"/>
    <hyperlink ref="M17" r:id="rId12" display="15736585" xr:uid="{10205CC1-CA78-417D-AD72-A980893AB647}"/>
    <hyperlink ref="M20" r:id="rId13" display="15739033" xr:uid="{75714F1E-D2A6-4B44-B2CB-04549E6D0C81}"/>
    <hyperlink ref="M23" r:id="rId14" display="15739344" xr:uid="{171FC5D9-0681-4C19-8392-D82F81D3FFD8}"/>
    <hyperlink ref="M21" r:id="rId15" display="15747494" xr:uid="{716C6C16-74F9-4DF2-92E9-73A97C211338}"/>
    <hyperlink ref="M22" r:id="rId16" display="15747724" xr:uid="{6CE6C071-B045-491F-A419-5A51286961D5}"/>
    <hyperlink ref="M29" r:id="rId17" display="15760276" xr:uid="{50E5ACE4-0B96-4C99-877E-1547412FDCA9}"/>
    <hyperlink ref="M24" r:id="rId18" display="15761962" xr:uid="{C3F4DB3E-62C5-440C-B421-0C01FDD8002B}"/>
    <hyperlink ref="M25" r:id="rId19" display="15761934" xr:uid="{9D2526A3-00FB-42C1-A1E5-6F9121375E72}"/>
    <hyperlink ref="M26" r:id="rId20" display="15762164" xr:uid="{210306DE-F118-4E2A-B7F2-836EA8B6C853}"/>
    <hyperlink ref="M27" r:id="rId21" display="15764748" xr:uid="{058B408E-9C68-4DD8-A116-5E903F91EEAA}"/>
    <hyperlink ref="M30" r:id="rId22" display="15782757" xr:uid="{D678085E-F9F9-4BBD-8764-1892B6DADC6D}"/>
    <hyperlink ref="M31" r:id="rId23" display="15782871" xr:uid="{BA2FBAE6-00A3-49F6-AB07-BCAE70E67DDE}"/>
    <hyperlink ref="M35" r:id="rId24" display="15801117" xr:uid="{981D3777-DD0B-474B-8675-976D876A092A}"/>
    <hyperlink ref="M39" r:id="rId25" display="15800855" xr:uid="{C6F5ED75-1940-4674-ABF7-BDB542D1CB60}"/>
    <hyperlink ref="M36" r:id="rId26" display="15801551" xr:uid="{6718C9BF-8A08-4C3D-8A90-23036559DBC4}"/>
    <hyperlink ref="M37" r:id="rId27" display="15801707" xr:uid="{574A8A14-F6B0-40BC-9781-861CCFB10E3B}"/>
    <hyperlink ref="M38" r:id="rId28" display="15802043" xr:uid="{5DE39246-BDB1-4DA8-A0EA-B7B2006794AA}"/>
    <hyperlink ref="M32" r:id="rId29" display="15802423" xr:uid="{9AF6310E-A1F4-4E0F-93C5-5503C8244340}"/>
    <hyperlink ref="M40" r:id="rId30" display="15806922" xr:uid="{A621FBBD-7CF6-4F22-ABE1-754AE37692AE}"/>
    <hyperlink ref="M41" r:id="rId31" display="15806966" xr:uid="{D276A77A-F45E-4A74-9CA5-7755E096E420}"/>
    <hyperlink ref="M42" r:id="rId32" display="15806901" xr:uid="{9EF40225-2680-4D26-B815-BBBF5563D98B}"/>
    <hyperlink ref="M43" r:id="rId33" display="15807500" xr:uid="{552B71D3-B047-475B-90E7-1EBF7ED12D6D}"/>
    <hyperlink ref="M44" r:id="rId34" display="15813512" xr:uid="{62372326-8698-44F4-9174-330E79881B2E}"/>
    <hyperlink ref="M45" r:id="rId35" display="15817998" xr:uid="{B19E34A9-5D94-43F5-A291-8ABDC9ECBF48}"/>
    <hyperlink ref="M10" r:id="rId36" display="15678494" xr:uid="{F9C909DE-F330-4D06-A566-627861B8F654}"/>
    <hyperlink ref="M13" r:id="rId37" display="15705952" xr:uid="{40529F93-4603-4E04-A288-177B68F3CE1C}"/>
    <hyperlink ref="M19" r:id="rId38" display="15739632" xr:uid="{B26703A6-764E-4BBF-984F-09E00851BAD7}"/>
    <hyperlink ref="M34" r:id="rId39" display="15802615" xr:uid="{D266ACF8-8CFD-4DF6-BA6A-BB1071C1DFC6}"/>
    <hyperlink ref="M12" r:id="rId40" display="15676836" xr:uid="{7ABE7B99-2F7B-4B55-93FC-7221B1DA5322}"/>
    <hyperlink ref="M11" r:id="rId41" display="15677946" xr:uid="{280EFA08-D5E9-498D-97FB-441D5C3E4350}"/>
    <hyperlink ref="M49" r:id="rId42" display="15846542" xr:uid="{E7530F23-4502-407A-9BD3-8F184FC4B680}"/>
    <hyperlink ref="M54" r:id="rId43" display="15847155" xr:uid="{1B7D08CA-6E3C-4BC3-90DA-2A09B3194C52}"/>
    <hyperlink ref="M53" r:id="rId44" display="15847155" xr:uid="{F40E0B4F-790A-4A48-B117-EB9BF6AF6668}"/>
    <hyperlink ref="M47" r:id="rId45" display="15847936" xr:uid="{C83D2DF8-EEF4-43D3-80DB-8EC306EBBA1A}"/>
    <hyperlink ref="M52" r:id="rId46" display="15848894" xr:uid="{A2D86CE8-6D45-428D-ACB6-286538C2F02B}"/>
    <hyperlink ref="M51" r:id="rId47" display="15431951" xr:uid="{9686F6BA-5814-4377-959D-9A4A3E3109DA}"/>
    <hyperlink ref="M56" r:id="rId48" display="15856255" xr:uid="{189E5096-D591-44BB-9F09-E39FC97518E8}"/>
    <hyperlink ref="M48" r:id="rId49" display="15845661" xr:uid="{DBAD43DF-34A0-4910-89A5-9FD631068ECA}"/>
    <hyperlink ref="M61" r:id="rId50" display="https://hub.floward.io/order/15880940" xr:uid="{2B481BFA-0F5C-4BB6-A65F-B045608490A2}"/>
    <hyperlink ref="M33" r:id="rId51" display="15800983" xr:uid="{733E76DA-667E-4D79-81DF-8B384C1F301F}"/>
    <hyperlink ref="M62" r:id="rId52" display="https://hub.floward.io/order/15894934" xr:uid="{DE858E06-5E85-48D1-9A3A-3C6CF5D72700}"/>
    <hyperlink ref="M63" r:id="rId53" display="https://hub.floward.io/order/15894088" xr:uid="{AB31FDCB-EDDB-4B40-9FF2-4E57454C1EDC}"/>
    <hyperlink ref="M64" r:id="rId54" display="https://hub.floward.io/order/15891869" xr:uid="{6904A101-241F-4E6C-84CE-3A95F65CFED3}"/>
    <hyperlink ref="M58" r:id="rId55" display="https://hub.floward.io/order/15867727" xr:uid="{9B34F5AB-5056-4BBD-8B06-8DF0CFBFEE35}"/>
  </hyperlinks>
  <pageMargins left="0.7" right="0.7" top="0.75" bottom="0.75" header="0.3" footer="0.3"/>
  <pageSetup paperSize="9" orientation="portrait" r:id="rId5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E84D-CA6D-4084-B58D-77C8CED7659A}">
  <sheetPr filterMode="1"/>
  <dimension ref="A1:N58"/>
  <sheetViews>
    <sheetView workbookViewId="0">
      <selection activeCell="M25" sqref="M25"/>
    </sheetView>
  </sheetViews>
  <sheetFormatPr defaultRowHeight="14.4"/>
  <cols>
    <col min="1" max="1" width="14.44140625" customWidth="1"/>
    <col min="2" max="2" width="10.88671875" customWidth="1"/>
    <col min="3" max="3" width="28.44140625" customWidth="1"/>
    <col min="4" max="4" width="18.33203125" customWidth="1"/>
    <col min="5" max="5" width="14.33203125" customWidth="1"/>
    <col min="6" max="6" width="15.109375" customWidth="1"/>
    <col min="7" max="7" width="14.5546875" customWidth="1"/>
    <col min="8" max="8" width="14.33203125" customWidth="1"/>
    <col min="9" max="9" width="13.6640625" customWidth="1"/>
    <col min="10" max="10" width="13" customWidth="1"/>
    <col min="11" max="11" width="15.33203125" customWidth="1"/>
    <col min="12" max="12" width="15.88671875" customWidth="1"/>
    <col min="13" max="13" width="13.5546875" customWidth="1"/>
    <col min="14" max="14" width="12" customWidth="1"/>
  </cols>
  <sheetData>
    <row r="1" spans="1:14">
      <c r="A1" s="405" t="s">
        <v>2</v>
      </c>
      <c r="B1" s="406" t="s">
        <v>3</v>
      </c>
      <c r="C1" s="406" t="s">
        <v>4</v>
      </c>
      <c r="D1" s="406" t="s">
        <v>5</v>
      </c>
      <c r="E1" s="406" t="s">
        <v>47</v>
      </c>
      <c r="F1" s="406" t="s">
        <v>6</v>
      </c>
      <c r="G1" s="406" t="s">
        <v>7</v>
      </c>
      <c r="H1" s="406" t="s">
        <v>8</v>
      </c>
      <c r="I1" s="406" t="s">
        <v>9</v>
      </c>
      <c r="J1" s="406" t="s">
        <v>10</v>
      </c>
      <c r="K1" s="406" t="s">
        <v>11</v>
      </c>
      <c r="L1" s="406" t="s">
        <v>48</v>
      </c>
      <c r="M1" s="406" t="s">
        <v>12</v>
      </c>
      <c r="N1" s="407" t="s">
        <v>13</v>
      </c>
    </row>
    <row r="2" spans="1:14" hidden="1">
      <c r="A2" s="408">
        <v>45668</v>
      </c>
      <c r="B2" s="409"/>
      <c r="C2" s="410" t="s">
        <v>489</v>
      </c>
      <c r="D2" s="414">
        <v>32.1</v>
      </c>
      <c r="E2" s="409" t="s">
        <v>52</v>
      </c>
      <c r="F2" s="410" t="s">
        <v>51</v>
      </c>
      <c r="G2" s="409" t="s">
        <v>52</v>
      </c>
      <c r="H2" s="409"/>
      <c r="I2" s="409"/>
      <c r="J2" s="409"/>
      <c r="K2" s="409" t="s">
        <v>23</v>
      </c>
      <c r="L2" s="411" t="s">
        <v>490</v>
      </c>
      <c r="M2" s="412">
        <v>15914714</v>
      </c>
      <c r="N2" s="413"/>
    </row>
    <row r="3" spans="1:14" hidden="1">
      <c r="A3" s="408">
        <v>45668</v>
      </c>
      <c r="B3" s="409"/>
      <c r="C3" s="410" t="s">
        <v>489</v>
      </c>
      <c r="D3" s="414">
        <v>22.1</v>
      </c>
      <c r="E3" s="409" t="s">
        <v>52</v>
      </c>
      <c r="F3" s="410" t="s">
        <v>51</v>
      </c>
      <c r="G3" s="409" t="s">
        <v>52</v>
      </c>
      <c r="H3" s="409"/>
      <c r="I3" s="409"/>
      <c r="J3" s="409"/>
      <c r="K3" s="409" t="s">
        <v>23</v>
      </c>
      <c r="L3" s="411" t="s">
        <v>490</v>
      </c>
      <c r="M3" s="416">
        <v>15914741</v>
      </c>
      <c r="N3" s="413"/>
    </row>
    <row r="4" spans="1:14" hidden="1">
      <c r="A4" s="408">
        <v>45668</v>
      </c>
      <c r="B4" s="409"/>
      <c r="C4" s="410" t="s">
        <v>489</v>
      </c>
      <c r="D4" s="414">
        <v>22.1</v>
      </c>
      <c r="E4" s="409" t="s">
        <v>52</v>
      </c>
      <c r="F4" s="410" t="s">
        <v>51</v>
      </c>
      <c r="G4" s="409" t="s">
        <v>52</v>
      </c>
      <c r="H4" s="409"/>
      <c r="I4" s="409"/>
      <c r="J4" s="409"/>
      <c r="K4" s="409" t="s">
        <v>23</v>
      </c>
      <c r="L4" s="411" t="s">
        <v>490</v>
      </c>
      <c r="M4" s="412">
        <v>15914772</v>
      </c>
      <c r="N4" s="413"/>
    </row>
    <row r="5" spans="1:14" hidden="1">
      <c r="A5" s="408">
        <v>45668</v>
      </c>
      <c r="B5" s="409"/>
      <c r="C5" s="410" t="s">
        <v>489</v>
      </c>
      <c r="D5" s="414">
        <v>23</v>
      </c>
      <c r="E5" s="409" t="s">
        <v>52</v>
      </c>
      <c r="F5" s="410" t="s">
        <v>51</v>
      </c>
      <c r="G5" s="409" t="s">
        <v>52</v>
      </c>
      <c r="H5" s="409"/>
      <c r="I5" s="409"/>
      <c r="J5" s="409"/>
      <c r="K5" s="409" t="s">
        <v>23</v>
      </c>
      <c r="L5" s="411" t="s">
        <v>490</v>
      </c>
      <c r="M5" s="329">
        <v>15914794</v>
      </c>
      <c r="N5" s="413"/>
    </row>
    <row r="6" spans="1:14" hidden="1">
      <c r="A6" s="408">
        <v>45758</v>
      </c>
      <c r="B6" s="409"/>
      <c r="C6" s="410" t="s">
        <v>418</v>
      </c>
      <c r="D6" s="414">
        <v>751.8</v>
      </c>
      <c r="E6" s="409" t="s">
        <v>52</v>
      </c>
      <c r="F6" s="410" t="s">
        <v>51</v>
      </c>
      <c r="G6" s="409" t="s">
        <v>146</v>
      </c>
      <c r="H6" s="409"/>
      <c r="I6" s="409"/>
      <c r="J6" s="409"/>
      <c r="K6" s="409"/>
      <c r="L6" s="411" t="s">
        <v>490</v>
      </c>
      <c r="M6" s="329">
        <v>15951820</v>
      </c>
      <c r="N6" s="413"/>
    </row>
    <row r="7" spans="1:14" hidden="1">
      <c r="A7" s="408">
        <v>45788</v>
      </c>
      <c r="B7" s="409"/>
      <c r="C7" s="410" t="s">
        <v>491</v>
      </c>
      <c r="D7" s="414">
        <v>10</v>
      </c>
      <c r="E7" s="409" t="s">
        <v>52</v>
      </c>
      <c r="F7" s="410" t="s">
        <v>51</v>
      </c>
      <c r="G7" s="409" t="s">
        <v>52</v>
      </c>
      <c r="H7" s="409"/>
      <c r="I7" s="409"/>
      <c r="J7" s="409"/>
      <c r="K7" s="409"/>
      <c r="L7" s="411" t="s">
        <v>490</v>
      </c>
      <c r="M7" s="329">
        <v>15958548</v>
      </c>
      <c r="N7" s="413"/>
    </row>
    <row r="8" spans="1:14" hidden="1">
      <c r="A8" s="408">
        <v>45819</v>
      </c>
      <c r="B8" s="409"/>
      <c r="C8" s="418" t="s">
        <v>492</v>
      </c>
      <c r="D8" s="419">
        <v>179.935</v>
      </c>
      <c r="E8" s="418" t="s">
        <v>52</v>
      </c>
      <c r="F8" s="418" t="s">
        <v>51</v>
      </c>
      <c r="G8" s="418" t="s">
        <v>52</v>
      </c>
      <c r="H8" s="418"/>
      <c r="I8" s="418"/>
      <c r="J8" s="418"/>
      <c r="K8" s="418" t="s">
        <v>493</v>
      </c>
      <c r="L8" s="420" t="s">
        <v>490</v>
      </c>
      <c r="M8" s="358">
        <v>15962071</v>
      </c>
      <c r="N8" s="413"/>
    </row>
    <row r="9" spans="1:14" hidden="1">
      <c r="A9" s="408">
        <v>45911</v>
      </c>
      <c r="B9" s="409"/>
      <c r="C9" s="410" t="s">
        <v>418</v>
      </c>
      <c r="D9" s="414">
        <v>64.05</v>
      </c>
      <c r="E9" s="409" t="s">
        <v>52</v>
      </c>
      <c r="F9" s="410" t="s">
        <v>51</v>
      </c>
      <c r="G9" s="409" t="s">
        <v>52</v>
      </c>
      <c r="H9" s="409"/>
      <c r="I9" s="409"/>
      <c r="J9" s="409"/>
      <c r="K9" s="409"/>
      <c r="L9" s="411" t="s">
        <v>490</v>
      </c>
      <c r="M9" s="329">
        <v>15999456</v>
      </c>
      <c r="N9" s="413"/>
    </row>
    <row r="10" spans="1:14" hidden="1">
      <c r="A10" s="408">
        <v>45911</v>
      </c>
      <c r="B10" s="409"/>
      <c r="C10" s="410" t="s">
        <v>494</v>
      </c>
      <c r="D10" s="414">
        <v>76.019000000000005</v>
      </c>
      <c r="E10" s="409" t="s">
        <v>52</v>
      </c>
      <c r="F10" s="410" t="s">
        <v>51</v>
      </c>
      <c r="G10" s="409" t="s">
        <v>298</v>
      </c>
      <c r="H10" s="409"/>
      <c r="I10" s="409"/>
      <c r="J10" s="409"/>
      <c r="K10" s="409"/>
      <c r="L10" s="411" t="s">
        <v>490</v>
      </c>
      <c r="M10" s="342">
        <v>16000762</v>
      </c>
      <c r="N10" s="413"/>
    </row>
    <row r="11" spans="1:14" hidden="1">
      <c r="A11" s="408">
        <v>45911</v>
      </c>
      <c r="B11" s="409"/>
      <c r="C11" s="410" t="s">
        <v>495</v>
      </c>
      <c r="D11" s="414">
        <v>65.325999999999993</v>
      </c>
      <c r="E11" s="409" t="s">
        <v>52</v>
      </c>
      <c r="F11" s="410" t="s">
        <v>51</v>
      </c>
      <c r="G11" s="409" t="s">
        <v>298</v>
      </c>
      <c r="H11" s="409"/>
      <c r="I11" s="409"/>
      <c r="J11" s="409"/>
      <c r="K11" s="409"/>
      <c r="L11" s="411" t="s">
        <v>490</v>
      </c>
      <c r="M11" s="329">
        <v>16002016</v>
      </c>
      <c r="N11" s="413"/>
    </row>
    <row r="12" spans="1:14" hidden="1">
      <c r="A12" s="408">
        <v>45971</v>
      </c>
      <c r="B12" s="409"/>
      <c r="C12" s="410" t="s">
        <v>496</v>
      </c>
      <c r="D12" s="414">
        <v>90.195999999999998</v>
      </c>
      <c r="E12" s="409" t="s">
        <v>52</v>
      </c>
      <c r="F12" s="410" t="s">
        <v>51</v>
      </c>
      <c r="G12" s="409" t="s">
        <v>298</v>
      </c>
      <c r="H12" s="409"/>
      <c r="I12" s="409"/>
      <c r="J12" s="409"/>
      <c r="K12" s="409"/>
      <c r="L12" s="411" t="s">
        <v>490</v>
      </c>
      <c r="M12" s="8">
        <v>16001833</v>
      </c>
      <c r="N12" s="413"/>
    </row>
    <row r="13" spans="1:14" hidden="1">
      <c r="A13" s="408">
        <v>45971</v>
      </c>
      <c r="B13" s="409"/>
      <c r="C13" s="410" t="s">
        <v>497</v>
      </c>
      <c r="D13" s="414">
        <v>92.4</v>
      </c>
      <c r="E13" s="409" t="s">
        <v>52</v>
      </c>
      <c r="F13" s="410" t="s">
        <v>51</v>
      </c>
      <c r="G13" s="409" t="s">
        <v>52</v>
      </c>
      <c r="H13" s="409"/>
      <c r="I13" s="409"/>
      <c r="J13" s="409"/>
      <c r="K13" s="409"/>
      <c r="L13" s="411" t="s">
        <v>490</v>
      </c>
      <c r="M13" s="329">
        <v>16010016</v>
      </c>
      <c r="N13" s="413"/>
    </row>
    <row r="14" spans="1:14" hidden="1">
      <c r="A14" s="408">
        <v>45972</v>
      </c>
      <c r="B14" s="409"/>
      <c r="C14" s="410" t="s">
        <v>498</v>
      </c>
      <c r="D14" s="414">
        <v>32.1</v>
      </c>
      <c r="E14" s="409" t="s">
        <v>52</v>
      </c>
      <c r="F14" s="410" t="s">
        <v>51</v>
      </c>
      <c r="G14" s="409" t="s">
        <v>52</v>
      </c>
      <c r="H14" s="409"/>
      <c r="I14" s="409"/>
      <c r="J14" s="409"/>
      <c r="K14" s="409" t="s">
        <v>499</v>
      </c>
      <c r="L14" s="411" t="s">
        <v>490</v>
      </c>
      <c r="M14" s="329">
        <v>16020182</v>
      </c>
      <c r="N14" s="413"/>
    </row>
    <row r="15" spans="1:14" hidden="1">
      <c r="A15" s="408">
        <v>45972</v>
      </c>
      <c r="B15" s="409"/>
      <c r="C15" s="410" t="s">
        <v>498</v>
      </c>
      <c r="D15" s="414">
        <v>32.1</v>
      </c>
      <c r="E15" s="409" t="s">
        <v>52</v>
      </c>
      <c r="F15" s="410" t="s">
        <v>51</v>
      </c>
      <c r="G15" s="409" t="s">
        <v>52</v>
      </c>
      <c r="H15" s="409"/>
      <c r="I15" s="409"/>
      <c r="J15" s="409"/>
      <c r="K15" s="409" t="s">
        <v>499</v>
      </c>
      <c r="L15" s="411" t="s">
        <v>490</v>
      </c>
      <c r="M15" s="329">
        <v>16020209</v>
      </c>
      <c r="N15" s="413"/>
    </row>
    <row r="16" spans="1:14" hidden="1">
      <c r="A16" s="408">
        <v>45974</v>
      </c>
      <c r="B16" s="409"/>
      <c r="C16" s="410" t="s">
        <v>500</v>
      </c>
      <c r="D16" s="414">
        <v>21</v>
      </c>
      <c r="E16" s="409" t="s">
        <v>52</v>
      </c>
      <c r="F16" s="410" t="s">
        <v>51</v>
      </c>
      <c r="G16" s="409" t="s">
        <v>52</v>
      </c>
      <c r="H16" s="409"/>
      <c r="I16" s="409"/>
      <c r="J16" s="409"/>
      <c r="K16" s="409" t="s">
        <v>26</v>
      </c>
      <c r="L16" s="410" t="s">
        <v>490</v>
      </c>
      <c r="M16" s="8">
        <v>16041083</v>
      </c>
      <c r="N16" s="409"/>
    </row>
    <row r="17" spans="1:14" hidden="1">
      <c r="A17" s="408">
        <v>45977</v>
      </c>
      <c r="B17" s="409"/>
      <c r="C17" s="410" t="s">
        <v>501</v>
      </c>
      <c r="D17" s="414">
        <v>45.414999999999999</v>
      </c>
      <c r="E17" s="409" t="s">
        <v>52</v>
      </c>
      <c r="F17" s="410" t="s">
        <v>51</v>
      </c>
      <c r="G17" s="409" t="s">
        <v>52</v>
      </c>
      <c r="H17" s="409"/>
      <c r="I17" s="409"/>
      <c r="J17" s="409"/>
      <c r="K17" s="409"/>
      <c r="L17" s="410" t="s">
        <v>490</v>
      </c>
      <c r="M17" s="8">
        <v>16068300</v>
      </c>
      <c r="N17" s="409"/>
    </row>
    <row r="18" spans="1:14" hidden="1">
      <c r="A18" s="408">
        <v>45977</v>
      </c>
      <c r="B18" s="409"/>
      <c r="C18" s="410" t="s">
        <v>502</v>
      </c>
      <c r="D18" s="414">
        <v>60.743000000000002</v>
      </c>
      <c r="E18" s="409" t="s">
        <v>52</v>
      </c>
      <c r="F18" s="410" t="s">
        <v>51</v>
      </c>
      <c r="G18" s="409" t="s">
        <v>298</v>
      </c>
      <c r="H18" s="409"/>
      <c r="I18" s="409"/>
      <c r="J18" s="409"/>
      <c r="K18" s="409"/>
      <c r="L18" s="410" t="s">
        <v>490</v>
      </c>
      <c r="M18" s="8">
        <v>16068707</v>
      </c>
      <c r="N18" s="409"/>
    </row>
    <row r="19" spans="1:14" hidden="1">
      <c r="A19" s="408">
        <v>45977</v>
      </c>
      <c r="B19" s="409"/>
      <c r="C19" s="410" t="s">
        <v>503</v>
      </c>
      <c r="D19" s="414">
        <v>17.177</v>
      </c>
      <c r="E19" s="409" t="s">
        <v>52</v>
      </c>
      <c r="F19" s="410" t="s">
        <v>51</v>
      </c>
      <c r="G19" s="409" t="s">
        <v>298</v>
      </c>
      <c r="H19" s="409"/>
      <c r="I19" s="409"/>
      <c r="J19" s="409"/>
      <c r="K19" s="409"/>
      <c r="L19" s="410" t="s">
        <v>490</v>
      </c>
      <c r="M19" s="8">
        <v>16069048</v>
      </c>
      <c r="N19" s="409"/>
    </row>
    <row r="20" spans="1:14" hidden="1">
      <c r="A20" s="408">
        <v>45977</v>
      </c>
      <c r="B20" s="409"/>
      <c r="C20" s="410" t="s">
        <v>504</v>
      </c>
      <c r="D20" s="414">
        <v>80.072000000000003</v>
      </c>
      <c r="E20" s="409" t="s">
        <v>52</v>
      </c>
      <c r="F20" s="410" t="s">
        <v>51</v>
      </c>
      <c r="G20" s="409" t="s">
        <v>298</v>
      </c>
      <c r="H20" s="409"/>
      <c r="I20" s="409"/>
      <c r="J20" s="409"/>
      <c r="K20" s="409"/>
      <c r="L20" s="410" t="s">
        <v>490</v>
      </c>
      <c r="M20" s="8">
        <v>16069048</v>
      </c>
      <c r="N20" s="409"/>
    </row>
    <row r="21" spans="1:14" hidden="1">
      <c r="A21" s="408">
        <v>45978</v>
      </c>
      <c r="B21" s="409"/>
      <c r="C21" s="410" t="s">
        <v>423</v>
      </c>
      <c r="D21" s="414">
        <v>42.524999999999999</v>
      </c>
      <c r="E21" s="409" t="s">
        <v>52</v>
      </c>
      <c r="F21" s="410" t="s">
        <v>51</v>
      </c>
      <c r="G21" s="409" t="s">
        <v>52</v>
      </c>
      <c r="H21" s="409"/>
      <c r="I21" s="409"/>
      <c r="J21" s="409"/>
      <c r="K21" s="409"/>
      <c r="L21" s="410" t="s">
        <v>490</v>
      </c>
      <c r="M21" s="8">
        <v>16079240</v>
      </c>
      <c r="N21" s="409"/>
    </row>
    <row r="22" spans="1:14">
      <c r="A22" s="417">
        <v>45980</v>
      </c>
      <c r="B22" s="409"/>
      <c r="C22" s="410" t="s">
        <v>429</v>
      </c>
      <c r="D22" s="415">
        <v>139.65</v>
      </c>
      <c r="E22" s="409" t="s">
        <v>52</v>
      </c>
      <c r="F22" s="410" t="s">
        <v>51</v>
      </c>
      <c r="G22" s="409" t="s">
        <v>52</v>
      </c>
      <c r="H22" s="409"/>
      <c r="I22" s="409"/>
      <c r="J22" s="409"/>
      <c r="K22" s="409"/>
      <c r="L22" s="410" t="s">
        <v>490</v>
      </c>
      <c r="M22" s="8">
        <v>16095489</v>
      </c>
      <c r="N22" s="409"/>
    </row>
    <row r="23" spans="1:14" hidden="1">
      <c r="A23" s="417">
        <v>45980</v>
      </c>
      <c r="B23" s="409"/>
      <c r="C23" s="410" t="s">
        <v>505</v>
      </c>
      <c r="D23" s="415">
        <v>92.1</v>
      </c>
      <c r="E23" s="409" t="s">
        <v>52</v>
      </c>
      <c r="F23" s="410" t="s">
        <v>51</v>
      </c>
      <c r="G23" s="409" t="s">
        <v>52</v>
      </c>
      <c r="H23" s="409"/>
      <c r="I23" s="409"/>
      <c r="J23" s="409"/>
      <c r="K23" s="409" t="s">
        <v>506</v>
      </c>
      <c r="L23" s="410" t="s">
        <v>490</v>
      </c>
      <c r="M23" s="8">
        <v>16100232</v>
      </c>
      <c r="N23" s="409"/>
    </row>
    <row r="24" spans="1:14" hidden="1">
      <c r="A24" s="417">
        <v>45981</v>
      </c>
      <c r="B24" s="409"/>
      <c r="C24" s="410" t="s">
        <v>498</v>
      </c>
      <c r="D24" s="415">
        <v>27.574999999999999</v>
      </c>
      <c r="E24" s="409" t="s">
        <v>52</v>
      </c>
      <c r="F24" s="410" t="s">
        <v>51</v>
      </c>
      <c r="G24" s="409" t="s">
        <v>52</v>
      </c>
      <c r="H24" s="409"/>
      <c r="I24" s="409"/>
      <c r="J24" s="409"/>
      <c r="K24" s="409" t="s">
        <v>499</v>
      </c>
      <c r="L24" s="410" t="s">
        <v>490</v>
      </c>
      <c r="M24" s="409">
        <v>16104826</v>
      </c>
      <c r="N24" s="409"/>
    </row>
    <row r="25" spans="1:14">
      <c r="A25" s="417">
        <v>45981</v>
      </c>
      <c r="B25" s="409"/>
      <c r="C25" s="410" t="s">
        <v>429</v>
      </c>
      <c r="D25" s="415">
        <v>195</v>
      </c>
      <c r="E25" s="409" t="s">
        <v>52</v>
      </c>
      <c r="F25" s="410" t="s">
        <v>51</v>
      </c>
      <c r="G25" s="409" t="s">
        <v>52</v>
      </c>
      <c r="H25" s="409"/>
      <c r="I25" s="409"/>
      <c r="J25" s="409"/>
      <c r="K25" s="409"/>
      <c r="L25" s="410" t="s">
        <v>490</v>
      </c>
      <c r="M25" s="8">
        <v>16104545</v>
      </c>
      <c r="N25" s="409"/>
    </row>
    <row r="26" spans="1:14">
      <c r="A26" s="417">
        <v>45981</v>
      </c>
      <c r="B26" s="409"/>
      <c r="C26" s="410" t="s">
        <v>429</v>
      </c>
      <c r="D26" s="415">
        <v>260</v>
      </c>
      <c r="E26" s="409" t="s">
        <v>52</v>
      </c>
      <c r="F26" s="410" t="s">
        <v>51</v>
      </c>
      <c r="G26" s="409" t="s">
        <v>52</v>
      </c>
      <c r="H26" s="409"/>
      <c r="I26" s="409"/>
      <c r="J26" s="409"/>
      <c r="K26" s="409"/>
      <c r="L26" s="410" t="s">
        <v>490</v>
      </c>
      <c r="M26" s="8">
        <v>16104545</v>
      </c>
      <c r="N26" s="409"/>
    </row>
    <row r="27" spans="1:14" hidden="1">
      <c r="A27" s="417">
        <v>45981</v>
      </c>
      <c r="B27" s="409"/>
      <c r="C27" s="410" t="s">
        <v>507</v>
      </c>
      <c r="D27" s="415">
        <v>481</v>
      </c>
      <c r="E27" s="409" t="s">
        <v>52</v>
      </c>
      <c r="F27" s="410" t="s">
        <v>51</v>
      </c>
      <c r="G27" s="409" t="s">
        <v>52</v>
      </c>
      <c r="H27" s="409"/>
      <c r="I27" s="409"/>
      <c r="J27" s="409"/>
      <c r="K27" s="409"/>
      <c r="L27" s="410" t="s">
        <v>490</v>
      </c>
      <c r="M27" s="8">
        <v>16098692</v>
      </c>
      <c r="N27" s="409"/>
    </row>
    <row r="28" spans="1:14" hidden="1">
      <c r="A28" s="417">
        <v>45981</v>
      </c>
      <c r="B28" s="409"/>
      <c r="C28" s="410" t="s">
        <v>59</v>
      </c>
      <c r="D28" s="415">
        <v>561.79999999999995</v>
      </c>
      <c r="E28" s="409" t="s">
        <v>52</v>
      </c>
      <c r="F28" s="410" t="s">
        <v>51</v>
      </c>
      <c r="G28" s="409" t="s">
        <v>52</v>
      </c>
      <c r="H28" s="409"/>
      <c r="I28" s="409"/>
      <c r="J28" s="409"/>
      <c r="K28" s="409" t="s">
        <v>26</v>
      </c>
      <c r="L28" s="410" t="s">
        <v>490</v>
      </c>
      <c r="M28" s="8">
        <v>16107349</v>
      </c>
      <c r="N28" s="409"/>
    </row>
    <row r="29" spans="1:14" hidden="1">
      <c r="A29" s="417">
        <v>45981</v>
      </c>
      <c r="B29" s="409"/>
      <c r="C29" s="410" t="s">
        <v>508</v>
      </c>
      <c r="D29" s="415">
        <v>540.75</v>
      </c>
      <c r="E29" s="409" t="s">
        <v>52</v>
      </c>
      <c r="F29" s="410" t="s">
        <v>51</v>
      </c>
      <c r="G29" s="409" t="s">
        <v>52</v>
      </c>
      <c r="H29" s="409"/>
      <c r="I29" s="409"/>
      <c r="J29" s="409"/>
      <c r="K29" s="409"/>
      <c r="L29" s="410" t="s">
        <v>490</v>
      </c>
      <c r="M29" s="8">
        <v>16130975</v>
      </c>
      <c r="N29" s="409"/>
    </row>
    <row r="30" spans="1:14" hidden="1">
      <c r="A30" s="417">
        <v>45981</v>
      </c>
      <c r="B30" s="409"/>
      <c r="C30" s="410" t="s">
        <v>369</v>
      </c>
      <c r="D30" s="415">
        <v>24.2</v>
      </c>
      <c r="E30" s="409" t="s">
        <v>52</v>
      </c>
      <c r="F30" s="410" t="s">
        <v>51</v>
      </c>
      <c r="G30" s="409" t="s">
        <v>52</v>
      </c>
      <c r="H30" s="409"/>
      <c r="I30" s="409"/>
      <c r="J30" s="409"/>
      <c r="K30" s="409"/>
      <c r="L30" s="410" t="s">
        <v>490</v>
      </c>
      <c r="M30" s="8">
        <v>16068754</v>
      </c>
      <c r="N30" s="409"/>
    </row>
    <row r="31" spans="1:14" hidden="1">
      <c r="A31" s="325">
        <v>45984</v>
      </c>
      <c r="B31" s="280"/>
      <c r="C31" s="410" t="s">
        <v>453</v>
      </c>
      <c r="D31" s="395">
        <v>14.8</v>
      </c>
      <c r="E31" s="409" t="s">
        <v>52</v>
      </c>
      <c r="F31" s="410" t="s">
        <v>51</v>
      </c>
      <c r="G31" s="409" t="s">
        <v>52</v>
      </c>
      <c r="H31" s="280"/>
      <c r="I31" s="280"/>
      <c r="J31" s="280"/>
      <c r="K31" s="280" t="s">
        <v>26</v>
      </c>
      <c r="L31" s="410" t="s">
        <v>490</v>
      </c>
      <c r="M31" s="8">
        <v>16131252</v>
      </c>
      <c r="N31" s="280"/>
    </row>
    <row r="32" spans="1:14" hidden="1">
      <c r="A32" s="325">
        <v>45984</v>
      </c>
      <c r="B32" s="280"/>
      <c r="C32" s="410" t="s">
        <v>425</v>
      </c>
      <c r="D32" s="395">
        <v>32.1</v>
      </c>
      <c r="E32" s="409" t="s">
        <v>52</v>
      </c>
      <c r="F32" s="410" t="s">
        <v>51</v>
      </c>
      <c r="G32" s="409" t="s">
        <v>52</v>
      </c>
      <c r="H32" s="280"/>
      <c r="I32" s="280"/>
      <c r="J32" s="280"/>
      <c r="K32" s="280"/>
      <c r="L32" s="410" t="s">
        <v>490</v>
      </c>
      <c r="M32" s="8">
        <v>16131473</v>
      </c>
      <c r="N32" s="280"/>
    </row>
    <row r="33" spans="1:14" hidden="1">
      <c r="A33" s="325">
        <v>45984</v>
      </c>
      <c r="B33" s="280"/>
      <c r="C33" s="410" t="s">
        <v>423</v>
      </c>
      <c r="D33" s="395">
        <v>52.5</v>
      </c>
      <c r="E33" s="409" t="s">
        <v>52</v>
      </c>
      <c r="F33" s="410" t="s">
        <v>51</v>
      </c>
      <c r="G33" s="409" t="s">
        <v>52</v>
      </c>
      <c r="H33" s="280"/>
      <c r="I33" s="280"/>
      <c r="J33" s="280"/>
      <c r="K33" s="280"/>
      <c r="L33" s="410" t="s">
        <v>490</v>
      </c>
      <c r="M33" s="8">
        <v>16132224</v>
      </c>
      <c r="N33" s="280"/>
    </row>
    <row r="34" spans="1:14">
      <c r="A34" s="325">
        <v>45985</v>
      </c>
      <c r="B34" s="280"/>
      <c r="C34" s="410" t="s">
        <v>429</v>
      </c>
      <c r="D34" s="395">
        <v>268.39999999999998</v>
      </c>
      <c r="E34" s="409" t="s">
        <v>52</v>
      </c>
      <c r="F34" s="410" t="s">
        <v>51</v>
      </c>
      <c r="G34" s="409" t="s">
        <v>52</v>
      </c>
      <c r="H34" s="280"/>
      <c r="I34" s="280"/>
      <c r="J34" s="280"/>
      <c r="K34" s="280"/>
      <c r="L34" s="410" t="s">
        <v>490</v>
      </c>
      <c r="M34" s="8">
        <v>16139993</v>
      </c>
      <c r="N34" s="280"/>
    </row>
    <row r="35" spans="1:14" hidden="1">
      <c r="A35" s="325">
        <v>45985</v>
      </c>
      <c r="B35" s="280"/>
      <c r="C35" s="410" t="s">
        <v>509</v>
      </c>
      <c r="D35" s="395">
        <v>249.625</v>
      </c>
      <c r="E35" s="409" t="s">
        <v>52</v>
      </c>
      <c r="F35" s="410" t="s">
        <v>51</v>
      </c>
      <c r="G35" s="409" t="s">
        <v>52</v>
      </c>
      <c r="H35" s="280"/>
      <c r="I35" s="280"/>
      <c r="J35" s="280"/>
      <c r="K35" s="280"/>
      <c r="L35" s="410" t="s">
        <v>490</v>
      </c>
      <c r="M35" s="8">
        <v>16141085</v>
      </c>
      <c r="N35" s="280"/>
    </row>
    <row r="36" spans="1:14" hidden="1">
      <c r="A36" s="325">
        <v>45985</v>
      </c>
      <c r="B36" s="280"/>
      <c r="C36" s="410" t="s">
        <v>478</v>
      </c>
      <c r="D36" s="395">
        <v>8.8000000000000007</v>
      </c>
      <c r="E36" s="409" t="s">
        <v>52</v>
      </c>
      <c r="F36" s="410" t="s">
        <v>51</v>
      </c>
      <c r="G36" s="409" t="s">
        <v>52</v>
      </c>
      <c r="H36" s="280"/>
      <c r="I36" s="280"/>
      <c r="J36" s="280"/>
      <c r="K36" s="280"/>
      <c r="L36" s="410" t="s">
        <v>490</v>
      </c>
      <c r="M36" s="8">
        <v>16141424</v>
      </c>
      <c r="N36" s="280"/>
    </row>
    <row r="37" spans="1:14" hidden="1">
      <c r="A37" s="417">
        <v>45985</v>
      </c>
      <c r="B37" s="409"/>
      <c r="C37" s="410" t="s">
        <v>274</v>
      </c>
      <c r="D37" s="415">
        <v>52.625</v>
      </c>
      <c r="E37" s="409" t="s">
        <v>52</v>
      </c>
      <c r="F37" s="410" t="s">
        <v>51</v>
      </c>
      <c r="G37" s="409" t="s">
        <v>52</v>
      </c>
      <c r="H37" s="409"/>
      <c r="I37" s="409"/>
      <c r="J37" s="409"/>
      <c r="K37" s="409"/>
      <c r="L37" s="410" t="s">
        <v>490</v>
      </c>
      <c r="M37" s="8">
        <v>16138644</v>
      </c>
      <c r="N37" s="409"/>
    </row>
    <row r="38" spans="1:14" hidden="1">
      <c r="A38" s="417">
        <v>45985</v>
      </c>
      <c r="B38" s="280"/>
      <c r="C38" s="410" t="s">
        <v>402</v>
      </c>
      <c r="D38" s="395">
        <v>25.1</v>
      </c>
      <c r="E38" s="409" t="s">
        <v>52</v>
      </c>
      <c r="F38" s="410" t="s">
        <v>51</v>
      </c>
      <c r="G38" s="409" t="s">
        <v>52</v>
      </c>
      <c r="H38" s="280"/>
      <c r="I38" s="280"/>
      <c r="J38" s="280"/>
      <c r="K38" s="280"/>
      <c r="L38" s="410" t="s">
        <v>490</v>
      </c>
      <c r="M38" s="8">
        <v>16138188</v>
      </c>
      <c r="N38" s="280"/>
    </row>
    <row r="39" spans="1:14" hidden="1">
      <c r="A39" s="325">
        <v>45986</v>
      </c>
      <c r="B39" s="280"/>
      <c r="C39" s="410" t="s">
        <v>420</v>
      </c>
      <c r="D39" s="456">
        <v>50</v>
      </c>
      <c r="E39" s="409" t="s">
        <v>52</v>
      </c>
      <c r="F39" s="410" t="s">
        <v>51</v>
      </c>
      <c r="G39" s="409" t="s">
        <v>52</v>
      </c>
      <c r="H39" s="280"/>
      <c r="I39" s="280"/>
      <c r="J39" s="280"/>
      <c r="K39" s="280"/>
      <c r="L39" s="410" t="s">
        <v>490</v>
      </c>
      <c r="M39" s="8">
        <v>16141112</v>
      </c>
      <c r="N39" s="280"/>
    </row>
    <row r="40" spans="1:14" hidden="1">
      <c r="A40" s="325">
        <v>45986</v>
      </c>
      <c r="B40" s="280"/>
      <c r="C40" s="410" t="s">
        <v>510</v>
      </c>
      <c r="D40" s="395">
        <v>63.584000000000003</v>
      </c>
      <c r="E40" s="409" t="s">
        <v>276</v>
      </c>
      <c r="F40" s="410" t="s">
        <v>51</v>
      </c>
      <c r="G40" s="409" t="s">
        <v>276</v>
      </c>
      <c r="H40" s="280"/>
      <c r="I40" s="280"/>
      <c r="J40" s="280"/>
      <c r="K40" s="280"/>
      <c r="L40" s="410" t="s">
        <v>490</v>
      </c>
      <c r="M40" s="8">
        <v>16147906</v>
      </c>
      <c r="N40" s="280"/>
    </row>
    <row r="41" spans="1:14" hidden="1">
      <c r="A41" s="325">
        <v>45986</v>
      </c>
      <c r="B41" s="280"/>
      <c r="C41" s="410" t="s">
        <v>511</v>
      </c>
      <c r="D41" s="395">
        <v>11.757</v>
      </c>
      <c r="E41" s="409" t="s">
        <v>276</v>
      </c>
      <c r="F41" s="410" t="s">
        <v>51</v>
      </c>
      <c r="G41" s="409" t="s">
        <v>276</v>
      </c>
      <c r="H41" s="280"/>
      <c r="I41" s="280"/>
      <c r="J41" s="280"/>
      <c r="K41" s="280"/>
      <c r="L41" s="410" t="s">
        <v>490</v>
      </c>
      <c r="M41" s="8">
        <v>16148215</v>
      </c>
      <c r="N41" s="280"/>
    </row>
    <row r="42" spans="1:14" hidden="1">
      <c r="A42" s="325">
        <v>45986</v>
      </c>
      <c r="B42" s="280"/>
      <c r="C42" s="410" t="s">
        <v>512</v>
      </c>
      <c r="D42" s="395">
        <v>14.5</v>
      </c>
      <c r="E42" s="280" t="s">
        <v>347</v>
      </c>
      <c r="F42" s="410" t="s">
        <v>51</v>
      </c>
      <c r="G42" s="280" t="s">
        <v>347</v>
      </c>
      <c r="H42" s="280"/>
      <c r="I42" s="280"/>
      <c r="J42" s="280"/>
      <c r="K42" s="280"/>
      <c r="L42" s="410" t="s">
        <v>490</v>
      </c>
      <c r="M42" s="8">
        <v>16148458</v>
      </c>
      <c r="N42" s="280"/>
    </row>
    <row r="43" spans="1:14" hidden="1">
      <c r="A43" s="325">
        <v>45986</v>
      </c>
      <c r="B43" s="280"/>
      <c r="C43" s="410" t="s">
        <v>513</v>
      </c>
      <c r="D43" s="395">
        <v>19.899999999999999</v>
      </c>
      <c r="E43" s="409" t="s">
        <v>276</v>
      </c>
      <c r="F43" s="410" t="s">
        <v>51</v>
      </c>
      <c r="G43" s="409" t="s">
        <v>276</v>
      </c>
      <c r="H43" s="280"/>
      <c r="I43" s="280"/>
      <c r="J43" s="280"/>
      <c r="K43" s="280"/>
      <c r="L43" s="410" t="s">
        <v>490</v>
      </c>
      <c r="M43" s="8">
        <v>16148032</v>
      </c>
      <c r="N43" s="280"/>
    </row>
    <row r="44" spans="1:14" hidden="1">
      <c r="A44" s="325">
        <v>45991</v>
      </c>
      <c r="B44" s="280"/>
      <c r="C44" s="421" t="s">
        <v>514</v>
      </c>
      <c r="D44" s="395">
        <v>25</v>
      </c>
      <c r="E44" s="280" t="s">
        <v>347</v>
      </c>
      <c r="F44" s="410" t="s">
        <v>51</v>
      </c>
      <c r="G44" s="280" t="s">
        <v>347</v>
      </c>
      <c r="H44" s="280"/>
      <c r="I44" s="280"/>
      <c r="J44" s="280"/>
      <c r="K44" s="280"/>
      <c r="L44" s="410" t="s">
        <v>490</v>
      </c>
      <c r="M44" s="8">
        <v>16200154</v>
      </c>
      <c r="N44" s="280"/>
    </row>
    <row r="45" spans="1:14" hidden="1">
      <c r="A45" s="325">
        <v>45991</v>
      </c>
      <c r="C45" s="410" t="s">
        <v>513</v>
      </c>
      <c r="D45" s="328">
        <v>164</v>
      </c>
      <c r="E45" s="409" t="s">
        <v>276</v>
      </c>
      <c r="F45" s="410" t="s">
        <v>51</v>
      </c>
      <c r="G45" s="409" t="s">
        <v>276</v>
      </c>
      <c r="H45" s="280"/>
      <c r="I45" s="280"/>
      <c r="J45" s="280"/>
      <c r="K45" s="280"/>
      <c r="L45" s="410" t="s">
        <v>490</v>
      </c>
      <c r="M45" s="8">
        <v>16199895</v>
      </c>
    </row>
    <row r="46" spans="1:14" hidden="1">
      <c r="A46" s="325">
        <v>45991</v>
      </c>
      <c r="C46" s="410" t="s">
        <v>515</v>
      </c>
      <c r="D46" s="328">
        <v>15</v>
      </c>
      <c r="E46" s="409" t="s">
        <v>276</v>
      </c>
      <c r="F46" s="410" t="s">
        <v>51</v>
      </c>
      <c r="G46" s="409" t="s">
        <v>276</v>
      </c>
      <c r="H46" s="280"/>
      <c r="I46" s="280"/>
      <c r="J46" s="280"/>
      <c r="K46" s="280"/>
      <c r="L46" s="410" t="s">
        <v>490</v>
      </c>
      <c r="M46" s="8">
        <v>16199968</v>
      </c>
    </row>
    <row r="47" spans="1:14" hidden="1">
      <c r="A47" s="325">
        <v>45991</v>
      </c>
      <c r="C47" s="410" t="s">
        <v>516</v>
      </c>
      <c r="D47" s="328">
        <v>13.234999999999999</v>
      </c>
      <c r="E47" s="409" t="s">
        <v>276</v>
      </c>
      <c r="F47" s="410" t="s">
        <v>51</v>
      </c>
      <c r="G47" s="409" t="s">
        <v>276</v>
      </c>
      <c r="H47" s="280"/>
      <c r="I47" s="280"/>
      <c r="J47" s="280"/>
      <c r="K47" s="280"/>
      <c r="L47" s="410" t="s">
        <v>490</v>
      </c>
      <c r="M47" s="8">
        <v>16200005</v>
      </c>
    </row>
    <row r="48" spans="1:14" hidden="1">
      <c r="A48" s="11"/>
      <c r="B48" s="11"/>
      <c r="C48" s="418"/>
      <c r="D48" s="322">
        <f>SUM(D2:D47)</f>
        <v>5163.1589999999987</v>
      </c>
      <c r="E48" s="418"/>
      <c r="F48" s="418"/>
      <c r="G48" s="418"/>
      <c r="H48" s="362"/>
      <c r="I48" s="362"/>
      <c r="J48" s="362"/>
      <c r="K48" s="362"/>
      <c r="L48" s="418"/>
      <c r="M48" s="11"/>
      <c r="N48" s="11"/>
    </row>
    <row r="49" spans="3:4">
      <c r="C49" s="410"/>
      <c r="D49" s="190"/>
    </row>
    <row r="50" spans="3:4">
      <c r="C50" s="410"/>
      <c r="D50" s="328"/>
    </row>
    <row r="51" spans="3:4">
      <c r="C51" s="410"/>
      <c r="D51" s="328"/>
    </row>
    <row r="52" spans="3:4">
      <c r="C52" s="410"/>
      <c r="D52" s="328"/>
    </row>
    <row r="53" spans="3:4">
      <c r="D53" s="328"/>
    </row>
    <row r="54" spans="3:4">
      <c r="D54" s="328"/>
    </row>
    <row r="55" spans="3:4">
      <c r="D55" s="328"/>
    </row>
    <row r="56" spans="3:4">
      <c r="D56" s="328"/>
    </row>
    <row r="57" spans="3:4">
      <c r="D57" s="328"/>
    </row>
    <row r="58" spans="3:4">
      <c r="D58" s="328"/>
    </row>
  </sheetData>
  <autoFilter ref="A1:N48" xr:uid="{EDE8E84D-CA6D-4084-B58D-77C8CED7659A}">
    <filterColumn colId="2">
      <filters>
        <filter val="Oman Housing Bank"/>
      </filters>
    </filterColumn>
  </autoFilter>
  <hyperlinks>
    <hyperlink ref="M2" r:id="rId1" display="15914714" xr:uid="{7F5692B1-5492-496F-A427-724E53EC3CF8}"/>
    <hyperlink ref="M3" r:id="rId2" display="15914741" xr:uid="{BDE8E3C6-999C-41B5-82E0-EB5B9156CE6D}"/>
    <hyperlink ref="M4" r:id="rId3" display="15914772" xr:uid="{3087F455-A97A-4134-95D0-F937E5E9555B}"/>
    <hyperlink ref="M5" r:id="rId4" display="15914794" xr:uid="{2A014E8B-42F6-4E62-9924-840049028FC1}"/>
    <hyperlink ref="M6" r:id="rId5" display="15951820" xr:uid="{4E0FB37F-7741-4FA9-8C01-61E76FCFCA5C}"/>
    <hyperlink ref="M7" r:id="rId6" display="15958548" xr:uid="{91F0A21D-20C2-424E-BCB3-693E5ACBD5B5}"/>
    <hyperlink ref="M8" r:id="rId7" display="15962071" xr:uid="{0BDDF0BD-043A-4BCF-9C97-ED6CFF38CA3F}"/>
    <hyperlink ref="M9" r:id="rId8" display="15999456" xr:uid="{CAA0E8CC-38FD-486D-8A9F-E394D253E669}"/>
    <hyperlink ref="M10" r:id="rId9" display="16000762" xr:uid="{2FD5FF41-3A90-48EE-B42A-E6348C2DF937}"/>
    <hyperlink ref="M11" r:id="rId10" display="16002016" xr:uid="{DEBBB75A-A747-496C-B9F0-F2DCF7A8C874}"/>
    <hyperlink ref="M13" r:id="rId11" display="16010016" xr:uid="{D19328C2-9625-4975-85F3-8EA22D049D1D}"/>
    <hyperlink ref="M15" r:id="rId12" display="16020209" xr:uid="{16633388-BEA9-4E5F-A586-2F7830C5EC7A}"/>
    <hyperlink ref="M16" r:id="rId13" display="16041083" xr:uid="{D8F8EF2A-70E3-43B6-B699-0A92B4C675F6}"/>
    <hyperlink ref="M17" r:id="rId14" display="16068300" xr:uid="{F1925835-36FF-4309-8753-074CA90C68AC}"/>
    <hyperlink ref="M18" r:id="rId15" display="16068707" xr:uid="{F9EC8D5F-DE4F-42F2-AEA5-6D8C59F43810}"/>
    <hyperlink ref="M20" r:id="rId16" display="16069048" xr:uid="{57DB0B35-E3B4-4F22-95D7-D4C67A2A8C0E}"/>
    <hyperlink ref="M19" r:id="rId17" display="16069048" xr:uid="{0D43696E-A54C-446F-B7D4-4FFC9FF82BDE}"/>
    <hyperlink ref="M12" r:id="rId18" display="16001833" xr:uid="{BED2D51F-A647-4CD7-9023-AA4C9A2F594C}"/>
    <hyperlink ref="M21" r:id="rId19" display="16079240" xr:uid="{B445530B-F326-486D-80BF-E51ECD4D1BE0}"/>
    <hyperlink ref="M22" r:id="rId20" display="16095489" xr:uid="{6283DEBF-0EA3-4ADB-A302-1B99D6E6DB79}"/>
    <hyperlink ref="M23" r:id="rId21" display="16100232" xr:uid="{9C3A5E58-E4D3-4315-875E-DE25F57B9D19}"/>
    <hyperlink ref="M25" r:id="rId22" display="16104545" xr:uid="{78EE20A7-DB08-4305-AEFB-39C95B4C681B}"/>
    <hyperlink ref="M26" r:id="rId23" display="16104545" xr:uid="{ED4C1E95-4411-4C94-8808-239E5CBB7B45}"/>
    <hyperlink ref="M27" r:id="rId24" display="https://hub.floward.io/order/16098692" xr:uid="{7990120A-E4A5-4AFA-A1C2-E0FDEC91BD87}"/>
    <hyperlink ref="M28" r:id="rId25" display="https://hub.floward.io/order/16107349" xr:uid="{55242842-89DF-41C7-91D8-F90A5EEC80E6}"/>
    <hyperlink ref="M30" r:id="rId26" display="https://hub.floward.io/order/16068754" xr:uid="{767A31D2-79F3-497F-943D-D5E4CCBD64D1}"/>
    <hyperlink ref="M37" r:id="rId27" display="https://hub.floward.io/order/16138644" xr:uid="{70FF5C54-9F1A-4307-B0A9-85F91D1BEC0D}"/>
    <hyperlink ref="M38" r:id="rId28" display="https://hub.floward.io/order/16138188" xr:uid="{952AD477-DDAF-4BE3-8D60-135647DEBEB2}"/>
    <hyperlink ref="M29" r:id="rId29" display="https://hub.floward.io/order/16130975" xr:uid="{074B8C92-3DC5-4057-86DE-31A08B7D4E8A}"/>
    <hyperlink ref="M31" r:id="rId30" display="16131252" xr:uid="{79EA44E2-72EE-467C-A2F1-6022217F9C2E}"/>
    <hyperlink ref="M32" r:id="rId31" display="16131473" xr:uid="{2330168F-FC3B-4B93-999D-5FC96AB08340}"/>
    <hyperlink ref="M33" r:id="rId32" display="16132224" xr:uid="{8E9EB929-5C75-4D53-BDFE-FA1330970181}"/>
    <hyperlink ref="M34" r:id="rId33" display="16139993" xr:uid="{EFB8654C-804A-46C7-9325-4A0398529B2E}"/>
    <hyperlink ref="M35" r:id="rId34" display="16141085" xr:uid="{E91ED67A-2D0D-4461-B624-21FFED0D1C45}"/>
    <hyperlink ref="M36" r:id="rId35" display="16141424" xr:uid="{BD6E0EDA-A0DE-486E-BB98-4FE77F5507BF}"/>
    <hyperlink ref="M39" r:id="rId36" display="16141112" xr:uid="{DFE3A43C-B233-48E0-9E92-D1B82E20554F}"/>
    <hyperlink ref="M40" r:id="rId37" display="16147906" xr:uid="{A4251946-7193-4AC5-9057-987B3882DFB3}"/>
    <hyperlink ref="M41" r:id="rId38" display="16148215" xr:uid="{B869A479-003A-4DFC-A9FF-D6F913A49EDB}"/>
    <hyperlink ref="M42" r:id="rId39" display="16148458" xr:uid="{E79E6581-B218-4998-8437-C3EBB267B333}"/>
    <hyperlink ref="M43" r:id="rId40" display="16148032" xr:uid="{B9A33938-C5BE-41E1-BB04-FAE5AC93EEB0}"/>
    <hyperlink ref="M14" r:id="rId41" display="16020182" xr:uid="{250274EF-3A73-49AB-99AC-442F35510F51}"/>
    <hyperlink ref="M44" r:id="rId42" display="https://hub.floward.io/order/16200154" xr:uid="{E0BD7713-BB75-4410-994F-295AD3C287B9}"/>
    <hyperlink ref="M45" r:id="rId43" display="https://hub.floward.io/order/16199895" xr:uid="{6C6E683A-9762-477F-86CE-7973046A47B8}"/>
    <hyperlink ref="M46" r:id="rId44" display="https://hub.floward.io/order/16199968" xr:uid="{1CD3AFE0-CC1A-4CDC-8A3A-DCDDE8390AFA}"/>
    <hyperlink ref="M47" r:id="rId45" display="https://hub.floward.io/order/16200005" xr:uid="{3B79F705-65E6-489B-A428-D79AA036F112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CEDE-BB16-42E7-9EFE-0B2683D71873}">
  <sheetPr filterMode="1"/>
  <dimension ref="A1:T59"/>
  <sheetViews>
    <sheetView tabSelected="1" workbookViewId="0">
      <selection activeCell="M12" sqref="M12"/>
    </sheetView>
  </sheetViews>
  <sheetFormatPr defaultRowHeight="14.4"/>
  <cols>
    <col min="1" max="1" width="11.44140625" customWidth="1"/>
    <col min="2" max="2" width="11.88671875" customWidth="1"/>
    <col min="3" max="3" width="31.33203125" customWidth="1"/>
    <col min="4" max="4" width="13.6640625" customWidth="1"/>
    <col min="5" max="5" width="13.33203125" customWidth="1"/>
    <col min="6" max="6" width="15.109375" customWidth="1"/>
    <col min="7" max="7" width="15.33203125" customWidth="1"/>
    <col min="8" max="8" width="12.6640625" customWidth="1"/>
    <col min="11" max="11" width="17" customWidth="1"/>
    <col min="12" max="13" width="13.6640625" customWidth="1"/>
  </cols>
  <sheetData>
    <row r="1" spans="1:14">
      <c r="A1" s="296" t="s">
        <v>2</v>
      </c>
      <c r="B1" s="207" t="s">
        <v>3</v>
      </c>
      <c r="C1" s="207" t="s">
        <v>4</v>
      </c>
      <c r="D1" s="207" t="s">
        <v>5</v>
      </c>
      <c r="E1" s="207" t="s">
        <v>47</v>
      </c>
      <c r="F1" s="207" t="s">
        <v>6</v>
      </c>
      <c r="G1" s="207" t="s">
        <v>7</v>
      </c>
      <c r="H1" s="207" t="s">
        <v>8</v>
      </c>
      <c r="I1" s="297" t="s">
        <v>9</v>
      </c>
      <c r="J1" s="297" t="s">
        <v>10</v>
      </c>
      <c r="K1" s="207" t="s">
        <v>11</v>
      </c>
      <c r="L1" s="207" t="s">
        <v>48</v>
      </c>
      <c r="M1" s="207" t="s">
        <v>12</v>
      </c>
      <c r="N1" s="346" t="s">
        <v>13</v>
      </c>
    </row>
    <row r="2" spans="1:14" hidden="1">
      <c r="A2" s="273">
        <v>45669</v>
      </c>
      <c r="B2" s="323"/>
      <c r="C2" s="97" t="s">
        <v>517</v>
      </c>
      <c r="D2" s="313">
        <v>21</v>
      </c>
      <c r="E2" s="271" t="s">
        <v>52</v>
      </c>
      <c r="F2" s="277" t="s">
        <v>51</v>
      </c>
      <c r="G2" s="313" t="s">
        <v>52</v>
      </c>
      <c r="H2" s="299"/>
      <c r="I2" s="300"/>
      <c r="J2" s="301"/>
      <c r="K2" s="423" t="s">
        <v>26</v>
      </c>
      <c r="L2" s="424" t="s">
        <v>53</v>
      </c>
      <c r="M2" s="8">
        <v>16210074</v>
      </c>
    </row>
    <row r="3" spans="1:14" hidden="1">
      <c r="A3" s="273">
        <v>45700</v>
      </c>
      <c r="B3" s="324"/>
      <c r="C3" s="422" t="s">
        <v>76</v>
      </c>
      <c r="D3" s="313">
        <v>26</v>
      </c>
      <c r="E3" s="271" t="s">
        <v>52</v>
      </c>
      <c r="F3" s="277" t="s">
        <v>51</v>
      </c>
      <c r="G3" s="313" t="s">
        <v>52</v>
      </c>
      <c r="H3" s="299"/>
      <c r="I3" s="300"/>
      <c r="J3" s="301"/>
      <c r="K3" s="423"/>
      <c r="L3" s="424" t="s">
        <v>53</v>
      </c>
      <c r="M3" s="8">
        <v>16224875</v>
      </c>
    </row>
    <row r="4" spans="1:14" hidden="1">
      <c r="A4" s="273">
        <v>45700</v>
      </c>
      <c r="B4" s="330"/>
      <c r="C4" s="425" t="s">
        <v>416</v>
      </c>
      <c r="D4" s="313">
        <v>63.225000000000001</v>
      </c>
      <c r="E4" s="271" t="s">
        <v>52</v>
      </c>
      <c r="F4" s="277" t="s">
        <v>77</v>
      </c>
      <c r="G4" s="313" t="s">
        <v>52</v>
      </c>
      <c r="H4" s="294"/>
      <c r="I4" s="294"/>
      <c r="J4" s="294"/>
      <c r="K4" s="423"/>
      <c r="L4" s="375" t="s">
        <v>53</v>
      </c>
      <c r="M4" s="8">
        <v>16223321</v>
      </c>
    </row>
    <row r="5" spans="1:14">
      <c r="A5" s="273">
        <v>45700</v>
      </c>
      <c r="B5" s="324"/>
      <c r="C5" s="426" t="s">
        <v>279</v>
      </c>
      <c r="D5" s="313">
        <v>64.784999999999997</v>
      </c>
      <c r="E5" s="271" t="s">
        <v>52</v>
      </c>
      <c r="F5" s="277" t="s">
        <v>51</v>
      </c>
      <c r="G5" s="313" t="s">
        <v>52</v>
      </c>
      <c r="H5" s="299"/>
      <c r="I5" s="300"/>
      <c r="J5" s="301"/>
      <c r="K5" s="375"/>
      <c r="L5" s="424" t="s">
        <v>53</v>
      </c>
      <c r="M5" s="8">
        <v>16221647</v>
      </c>
    </row>
    <row r="6" spans="1:14" hidden="1">
      <c r="A6" s="273">
        <v>45700</v>
      </c>
      <c r="B6" s="325"/>
      <c r="C6" s="427" t="s">
        <v>518</v>
      </c>
      <c r="D6" s="313">
        <v>27.3</v>
      </c>
      <c r="E6" s="271" t="s">
        <v>52</v>
      </c>
      <c r="F6" s="277" t="s">
        <v>51</v>
      </c>
      <c r="G6" s="313" t="s">
        <v>52</v>
      </c>
      <c r="H6" s="294"/>
      <c r="I6" s="294"/>
      <c r="J6" s="294"/>
      <c r="K6" s="423" t="s">
        <v>26</v>
      </c>
      <c r="L6" s="375" t="s">
        <v>53</v>
      </c>
      <c r="M6" s="8">
        <v>16211967</v>
      </c>
    </row>
    <row r="7" spans="1:14" hidden="1">
      <c r="A7" s="273">
        <v>45700</v>
      </c>
      <c r="B7" s="330"/>
      <c r="C7" s="427" t="s">
        <v>518</v>
      </c>
      <c r="D7" s="313">
        <v>27.3</v>
      </c>
      <c r="E7" s="271" t="s">
        <v>52</v>
      </c>
      <c r="F7" s="277" t="s">
        <v>51</v>
      </c>
      <c r="G7" s="313" t="s">
        <v>52</v>
      </c>
      <c r="H7" s="294"/>
      <c r="I7" s="294"/>
      <c r="J7" s="294"/>
      <c r="K7" s="423" t="s">
        <v>26</v>
      </c>
      <c r="L7" s="375" t="s">
        <v>53</v>
      </c>
      <c r="M7" s="8">
        <v>16212143</v>
      </c>
    </row>
    <row r="8" spans="1:14" hidden="1">
      <c r="A8" s="273">
        <v>45728</v>
      </c>
      <c r="B8" s="330"/>
      <c r="C8" s="422" t="s">
        <v>76</v>
      </c>
      <c r="D8" s="313">
        <v>26</v>
      </c>
      <c r="E8" s="271" t="s">
        <v>52</v>
      </c>
      <c r="F8" s="277" t="s">
        <v>51</v>
      </c>
      <c r="G8" s="313" t="s">
        <v>52</v>
      </c>
      <c r="H8" s="299"/>
      <c r="I8" s="300"/>
      <c r="J8" s="301"/>
      <c r="K8" s="423"/>
      <c r="L8" s="424" t="s">
        <v>53</v>
      </c>
      <c r="M8" s="8">
        <v>16236199</v>
      </c>
    </row>
    <row r="9" spans="1:14" hidden="1">
      <c r="A9" s="273">
        <v>45759</v>
      </c>
      <c r="B9" s="330"/>
      <c r="C9" s="422" t="s">
        <v>519</v>
      </c>
      <c r="D9" s="279">
        <v>43.375</v>
      </c>
      <c r="E9" s="271" t="s">
        <v>52</v>
      </c>
      <c r="F9" s="277" t="s">
        <v>51</v>
      </c>
      <c r="G9" s="313" t="s">
        <v>52</v>
      </c>
      <c r="H9" s="299"/>
      <c r="I9" s="300"/>
      <c r="J9" s="301"/>
      <c r="K9" s="278" t="s">
        <v>26</v>
      </c>
      <c r="L9" s="269" t="s">
        <v>53</v>
      </c>
      <c r="M9" s="8">
        <v>16235082</v>
      </c>
    </row>
    <row r="10" spans="1:14" hidden="1">
      <c r="A10" s="273">
        <v>45789</v>
      </c>
      <c r="B10" s="330"/>
      <c r="C10" s="430" t="s">
        <v>33</v>
      </c>
      <c r="D10" s="431">
        <v>457.55</v>
      </c>
      <c r="E10" s="338" t="s">
        <v>520</v>
      </c>
      <c r="F10" s="339" t="s">
        <v>51</v>
      </c>
      <c r="G10" s="431" t="s">
        <v>21</v>
      </c>
      <c r="H10" s="432"/>
      <c r="I10" s="433"/>
      <c r="J10" s="434"/>
      <c r="K10" s="435"/>
      <c r="L10" s="436" t="s">
        <v>53</v>
      </c>
      <c r="M10" s="8">
        <v>16255330</v>
      </c>
    </row>
    <row r="11" spans="1:14" hidden="1">
      <c r="A11" s="273">
        <v>45789</v>
      </c>
      <c r="B11" s="429"/>
      <c r="C11" s="437" t="s">
        <v>435</v>
      </c>
      <c r="D11" s="438">
        <v>28</v>
      </c>
      <c r="E11" s="439" t="s">
        <v>52</v>
      </c>
      <c r="F11" s="351" t="s">
        <v>51</v>
      </c>
      <c r="G11" s="440" t="s">
        <v>52</v>
      </c>
      <c r="H11" s="441"/>
      <c r="I11" s="442"/>
      <c r="J11" s="176"/>
      <c r="K11" s="443"/>
      <c r="L11" s="444" t="s">
        <v>53</v>
      </c>
      <c r="M11" s="168">
        <v>16255092</v>
      </c>
    </row>
    <row r="12" spans="1:14">
      <c r="A12" s="273">
        <v>45820</v>
      </c>
      <c r="C12" s="437" t="s">
        <v>521</v>
      </c>
      <c r="D12" s="438">
        <v>262.5</v>
      </c>
      <c r="E12" s="439" t="s">
        <v>52</v>
      </c>
      <c r="F12" s="351" t="s">
        <v>51</v>
      </c>
      <c r="G12" s="438" t="s">
        <v>21</v>
      </c>
      <c r="H12" s="441"/>
      <c r="I12" s="442"/>
      <c r="J12" s="176"/>
      <c r="K12" s="443"/>
      <c r="L12" s="444" t="s">
        <v>53</v>
      </c>
      <c r="M12" s="168">
        <v>16265548</v>
      </c>
    </row>
    <row r="13" spans="1:14" hidden="1">
      <c r="A13" s="273">
        <v>45850</v>
      </c>
      <c r="C13" s="437" t="s">
        <v>309</v>
      </c>
      <c r="D13" s="438">
        <v>150</v>
      </c>
      <c r="E13" s="439" t="s">
        <v>52</v>
      </c>
      <c r="F13" s="351" t="s">
        <v>51</v>
      </c>
      <c r="G13" s="438" t="s">
        <v>21</v>
      </c>
      <c r="H13" s="441"/>
      <c r="I13" s="442"/>
      <c r="J13" s="176"/>
      <c r="K13" s="443"/>
      <c r="L13" s="444" t="s">
        <v>53</v>
      </c>
      <c r="M13" s="168">
        <v>16264926</v>
      </c>
    </row>
    <row r="14" spans="1:14" hidden="1">
      <c r="A14" s="273">
        <v>45850</v>
      </c>
      <c r="C14" s="437" t="s">
        <v>369</v>
      </c>
      <c r="D14" s="438">
        <v>33.85</v>
      </c>
      <c r="E14" s="439" t="s">
        <v>52</v>
      </c>
      <c r="F14" s="351" t="s">
        <v>51</v>
      </c>
      <c r="G14" s="440" t="s">
        <v>52</v>
      </c>
      <c r="H14" s="441"/>
      <c r="I14" s="442"/>
      <c r="J14" s="176"/>
      <c r="K14" s="443"/>
      <c r="L14" s="444" t="s">
        <v>53</v>
      </c>
      <c r="M14" s="168">
        <v>16245780</v>
      </c>
    </row>
    <row r="15" spans="1:14" hidden="1">
      <c r="A15" s="273">
        <v>45850</v>
      </c>
      <c r="C15" s="437" t="s">
        <v>369</v>
      </c>
      <c r="D15" s="438">
        <v>33.85</v>
      </c>
      <c r="E15" s="439" t="s">
        <v>52</v>
      </c>
      <c r="F15" s="351" t="s">
        <v>51</v>
      </c>
      <c r="G15" s="440" t="s">
        <v>52</v>
      </c>
      <c r="H15" s="441"/>
      <c r="I15" s="442"/>
      <c r="J15" s="176"/>
      <c r="K15" s="443"/>
      <c r="L15" s="444" t="s">
        <v>53</v>
      </c>
      <c r="M15" s="168">
        <v>16283248</v>
      </c>
    </row>
    <row r="16" spans="1:14" hidden="1">
      <c r="A16" s="273">
        <v>45850</v>
      </c>
      <c r="C16" s="437" t="s">
        <v>369</v>
      </c>
      <c r="D16" s="438">
        <v>33.85</v>
      </c>
      <c r="E16" s="439" t="s">
        <v>52</v>
      </c>
      <c r="F16" s="351" t="s">
        <v>51</v>
      </c>
      <c r="G16" s="440" t="s">
        <v>52</v>
      </c>
      <c r="H16" s="441"/>
      <c r="I16" s="442"/>
      <c r="J16" s="176"/>
      <c r="K16" s="443"/>
      <c r="L16" s="444" t="s">
        <v>53</v>
      </c>
      <c r="M16" s="168">
        <v>16245825</v>
      </c>
    </row>
    <row r="17" spans="1:13">
      <c r="A17" s="273">
        <v>45850</v>
      </c>
      <c r="C17" s="437" t="s">
        <v>279</v>
      </c>
      <c r="D17" s="438">
        <v>32.1</v>
      </c>
      <c r="E17" s="439" t="s">
        <v>52</v>
      </c>
      <c r="F17" s="351" t="s">
        <v>51</v>
      </c>
      <c r="G17" s="440" t="s">
        <v>52</v>
      </c>
      <c r="H17" s="162"/>
      <c r="I17" s="162"/>
      <c r="J17" s="162"/>
      <c r="K17" s="162"/>
      <c r="L17" s="444" t="s">
        <v>53</v>
      </c>
      <c r="M17" s="168">
        <v>16284556</v>
      </c>
    </row>
    <row r="18" spans="1:13">
      <c r="A18" s="273">
        <v>45881</v>
      </c>
      <c r="C18" s="437" t="s">
        <v>521</v>
      </c>
      <c r="D18" s="438">
        <v>367</v>
      </c>
      <c r="E18" s="439" t="s">
        <v>52</v>
      </c>
      <c r="F18" s="351" t="s">
        <v>51</v>
      </c>
      <c r="G18" s="440" t="s">
        <v>21</v>
      </c>
      <c r="H18" s="162"/>
      <c r="I18" s="162"/>
      <c r="J18" s="162"/>
      <c r="K18" s="162"/>
      <c r="L18" s="444" t="s">
        <v>53</v>
      </c>
      <c r="M18" s="168">
        <v>16283601</v>
      </c>
    </row>
    <row r="19" spans="1:13" hidden="1">
      <c r="A19" s="273">
        <v>45912</v>
      </c>
      <c r="C19" s="437" t="s">
        <v>25</v>
      </c>
      <c r="D19" s="438">
        <v>480</v>
      </c>
      <c r="E19" s="439" t="s">
        <v>52</v>
      </c>
      <c r="F19" s="351" t="s">
        <v>51</v>
      </c>
      <c r="G19" s="440" t="s">
        <v>21</v>
      </c>
      <c r="H19" s="162"/>
      <c r="I19" s="162"/>
      <c r="J19" s="162"/>
      <c r="K19" s="162"/>
      <c r="L19" s="444" t="s">
        <v>53</v>
      </c>
      <c r="M19" s="168">
        <v>16287892</v>
      </c>
    </row>
    <row r="20" spans="1:13" hidden="1">
      <c r="A20" s="273">
        <v>45973</v>
      </c>
      <c r="C20" s="437" t="s">
        <v>22</v>
      </c>
      <c r="D20" s="438">
        <v>73.400000000000006</v>
      </c>
      <c r="E20" s="439" t="s">
        <v>52</v>
      </c>
      <c r="F20" s="351" t="s">
        <v>51</v>
      </c>
      <c r="G20" s="440" t="s">
        <v>21</v>
      </c>
      <c r="H20" s="162"/>
      <c r="I20" s="162"/>
      <c r="J20" s="162"/>
      <c r="K20" s="162"/>
      <c r="L20" s="444" t="s">
        <v>53</v>
      </c>
      <c r="M20" s="168">
        <v>16295777</v>
      </c>
    </row>
    <row r="21" spans="1:13" hidden="1">
      <c r="A21" s="273">
        <v>45973</v>
      </c>
      <c r="C21" s="437" t="s">
        <v>522</v>
      </c>
      <c r="D21" s="438">
        <v>465.15</v>
      </c>
      <c r="E21" s="439" t="s">
        <v>52</v>
      </c>
      <c r="F21" s="351" t="s">
        <v>51</v>
      </c>
      <c r="G21" s="440" t="s">
        <v>21</v>
      </c>
      <c r="H21" s="162"/>
      <c r="I21" s="162"/>
      <c r="J21" s="162"/>
      <c r="K21" s="162"/>
      <c r="L21" s="444" t="s">
        <v>53</v>
      </c>
      <c r="M21" s="168">
        <v>16313874</v>
      </c>
    </row>
    <row r="22" spans="1:13" hidden="1">
      <c r="A22" s="273">
        <v>45973</v>
      </c>
      <c r="C22" s="437" t="s">
        <v>523</v>
      </c>
      <c r="D22" s="438">
        <v>7</v>
      </c>
      <c r="E22" s="439" t="s">
        <v>101</v>
      </c>
      <c r="F22" s="351" t="s">
        <v>51</v>
      </c>
      <c r="G22" s="440" t="s">
        <v>101</v>
      </c>
      <c r="H22" s="162"/>
      <c r="I22" s="162"/>
      <c r="J22" s="162"/>
      <c r="K22" s="162"/>
      <c r="L22" s="444" t="s">
        <v>53</v>
      </c>
      <c r="M22" s="168">
        <v>16318551</v>
      </c>
    </row>
    <row r="23" spans="1:13" hidden="1">
      <c r="A23" s="273">
        <v>45973</v>
      </c>
      <c r="C23" s="437" t="s">
        <v>522</v>
      </c>
      <c r="D23" s="438">
        <v>42</v>
      </c>
      <c r="E23" s="439" t="s">
        <v>52</v>
      </c>
      <c r="F23" s="351" t="s">
        <v>51</v>
      </c>
      <c r="G23" s="440" t="s">
        <v>21</v>
      </c>
      <c r="H23" s="162"/>
      <c r="I23" s="162"/>
      <c r="J23" s="162"/>
      <c r="K23" s="162"/>
      <c r="L23" s="444" t="s">
        <v>53</v>
      </c>
      <c r="M23" s="168">
        <v>16342157</v>
      </c>
    </row>
    <row r="24" spans="1:13" hidden="1">
      <c r="A24" s="273" t="s">
        <v>524</v>
      </c>
      <c r="C24" s="437" t="s">
        <v>525</v>
      </c>
      <c r="D24" s="438">
        <v>47</v>
      </c>
      <c r="E24" s="439" t="s">
        <v>101</v>
      </c>
      <c r="F24" s="351" t="s">
        <v>51</v>
      </c>
      <c r="G24" s="440" t="s">
        <v>101</v>
      </c>
      <c r="H24" s="162"/>
      <c r="I24" s="162"/>
      <c r="J24" s="162"/>
      <c r="K24" s="162"/>
      <c r="L24" s="444" t="s">
        <v>53</v>
      </c>
      <c r="M24" s="168">
        <v>16343502</v>
      </c>
    </row>
    <row r="25" spans="1:13">
      <c r="A25" s="273" t="s">
        <v>524</v>
      </c>
      <c r="C25" s="437" t="s">
        <v>418</v>
      </c>
      <c r="D25" s="438">
        <v>213.67500000000001</v>
      </c>
      <c r="E25" s="439" t="s">
        <v>52</v>
      </c>
      <c r="F25" s="351" t="s">
        <v>51</v>
      </c>
      <c r="G25" s="440" t="s">
        <v>21</v>
      </c>
      <c r="H25" s="162"/>
      <c r="I25" s="162"/>
      <c r="J25" s="162"/>
      <c r="K25" s="162"/>
      <c r="L25" s="444" t="s">
        <v>53</v>
      </c>
      <c r="M25" s="168">
        <v>16370898</v>
      </c>
    </row>
    <row r="26" spans="1:13" hidden="1">
      <c r="A26" s="273" t="s">
        <v>524</v>
      </c>
      <c r="C26" s="437" t="s">
        <v>526</v>
      </c>
      <c r="D26" s="438">
        <v>413</v>
      </c>
      <c r="E26" s="439" t="s">
        <v>52</v>
      </c>
      <c r="F26" s="351" t="s">
        <v>77</v>
      </c>
      <c r="G26" s="440" t="s">
        <v>52</v>
      </c>
      <c r="H26" s="162"/>
      <c r="I26" s="162"/>
      <c r="J26" s="162"/>
      <c r="K26" s="162"/>
      <c r="L26" s="444" t="s">
        <v>53</v>
      </c>
      <c r="M26" s="168">
        <v>16343351</v>
      </c>
    </row>
    <row r="27" spans="1:13" hidden="1">
      <c r="A27" s="273" t="s">
        <v>527</v>
      </c>
      <c r="C27" s="437" t="s">
        <v>274</v>
      </c>
      <c r="D27" s="438">
        <v>52.625</v>
      </c>
      <c r="E27" s="439" t="s">
        <v>52</v>
      </c>
      <c r="F27" s="351" t="s">
        <v>51</v>
      </c>
      <c r="G27" s="440" t="s">
        <v>52</v>
      </c>
      <c r="H27" s="162"/>
      <c r="I27" s="162"/>
      <c r="J27" s="162"/>
      <c r="K27" s="162"/>
      <c r="L27" s="444" t="s">
        <v>53</v>
      </c>
      <c r="M27" s="168">
        <v>16361818</v>
      </c>
    </row>
    <row r="28" spans="1:13" hidden="1">
      <c r="A28" s="273" t="s">
        <v>528</v>
      </c>
      <c r="C28" s="437" t="s">
        <v>523</v>
      </c>
      <c r="D28" s="438">
        <v>42</v>
      </c>
      <c r="E28" s="439" t="s">
        <v>101</v>
      </c>
      <c r="F28" s="351" t="s">
        <v>51</v>
      </c>
      <c r="G28" s="439" t="s">
        <v>101</v>
      </c>
      <c r="H28" s="162"/>
      <c r="I28" s="162"/>
      <c r="J28" s="162"/>
      <c r="K28" s="162"/>
      <c r="L28" s="444" t="s">
        <v>53</v>
      </c>
      <c r="M28" s="168">
        <v>16381789</v>
      </c>
    </row>
    <row r="29" spans="1:13" hidden="1">
      <c r="A29" s="273" t="s">
        <v>528</v>
      </c>
      <c r="C29" s="445" t="s">
        <v>416</v>
      </c>
      <c r="D29" s="446">
        <v>1176</v>
      </c>
      <c r="E29" s="439" t="s">
        <v>52</v>
      </c>
      <c r="F29" s="351" t="s">
        <v>77</v>
      </c>
      <c r="G29" s="440" t="s">
        <v>52</v>
      </c>
      <c r="H29" s="162"/>
      <c r="I29" s="162"/>
      <c r="J29" s="162"/>
      <c r="K29" s="162"/>
      <c r="L29" s="428" t="s">
        <v>53</v>
      </c>
      <c r="M29" s="8">
        <v>16372721</v>
      </c>
    </row>
    <row r="30" spans="1:13" hidden="1">
      <c r="A30" s="273" t="s">
        <v>529</v>
      </c>
      <c r="C30" s="445" t="s">
        <v>530</v>
      </c>
      <c r="D30" s="446">
        <v>197</v>
      </c>
      <c r="E30" s="439" t="s">
        <v>276</v>
      </c>
      <c r="F30" s="351" t="s">
        <v>51</v>
      </c>
      <c r="G30" s="439" t="s">
        <v>276</v>
      </c>
      <c r="H30" s="162"/>
      <c r="I30" s="162"/>
      <c r="J30" s="162"/>
      <c r="K30" s="162"/>
      <c r="L30" s="428" t="s">
        <v>53</v>
      </c>
      <c r="M30" s="8">
        <v>16405484</v>
      </c>
    </row>
    <row r="31" spans="1:13" hidden="1">
      <c r="A31" s="273" t="s">
        <v>529</v>
      </c>
      <c r="C31" s="445" t="s">
        <v>368</v>
      </c>
      <c r="D31" s="446">
        <v>166</v>
      </c>
      <c r="E31" s="447" t="s">
        <v>276</v>
      </c>
      <c r="F31" s="351" t="s">
        <v>51</v>
      </c>
      <c r="G31" s="447" t="s">
        <v>276</v>
      </c>
      <c r="H31" s="162"/>
      <c r="I31" s="162"/>
      <c r="J31" s="162"/>
      <c r="K31" s="162"/>
      <c r="L31" s="428" t="s">
        <v>53</v>
      </c>
      <c r="M31" s="210">
        <v>16405878</v>
      </c>
    </row>
    <row r="32" spans="1:13" hidden="1">
      <c r="A32" s="273" t="s">
        <v>529</v>
      </c>
      <c r="C32" s="445" t="s">
        <v>531</v>
      </c>
      <c r="D32" s="446">
        <v>143.62100000000001</v>
      </c>
      <c r="E32" s="447" t="s">
        <v>276</v>
      </c>
      <c r="F32" s="351" t="s">
        <v>51</v>
      </c>
      <c r="G32" s="447" t="s">
        <v>276</v>
      </c>
      <c r="H32" s="162"/>
      <c r="I32" s="162"/>
      <c r="J32" s="162"/>
      <c r="K32" s="162"/>
      <c r="L32" s="428" t="s">
        <v>53</v>
      </c>
      <c r="M32" s="449">
        <v>16406224</v>
      </c>
    </row>
    <row r="33" spans="1:14" hidden="1">
      <c r="A33" s="273" t="s">
        <v>532</v>
      </c>
      <c r="C33" s="445" t="s">
        <v>523</v>
      </c>
      <c r="D33" s="448">
        <v>29</v>
      </c>
      <c r="E33" s="447" t="s">
        <v>101</v>
      </c>
      <c r="F33" s="351" t="s">
        <v>51</v>
      </c>
      <c r="G33" s="447" t="s">
        <v>101</v>
      </c>
      <c r="H33" s="162"/>
      <c r="I33" s="162"/>
      <c r="J33" s="162"/>
      <c r="K33" s="162"/>
      <c r="L33" s="428" t="s">
        <v>53</v>
      </c>
      <c r="M33" s="8">
        <v>16424313</v>
      </c>
    </row>
    <row r="34" spans="1:14" hidden="1">
      <c r="A34" s="273" t="s">
        <v>532</v>
      </c>
      <c r="C34" s="445" t="s">
        <v>533</v>
      </c>
      <c r="D34" s="448">
        <v>137</v>
      </c>
      <c r="E34" s="439" t="s">
        <v>52</v>
      </c>
      <c r="F34" s="351" t="s">
        <v>51</v>
      </c>
      <c r="G34" s="440" t="s">
        <v>52</v>
      </c>
      <c r="H34" s="162"/>
      <c r="I34" s="162"/>
      <c r="J34" s="162"/>
      <c r="K34" s="162"/>
      <c r="L34" s="428" t="s">
        <v>53</v>
      </c>
      <c r="M34" s="8">
        <v>16426110</v>
      </c>
    </row>
    <row r="35" spans="1:14" hidden="1">
      <c r="A35" s="273" t="s">
        <v>534</v>
      </c>
      <c r="C35" s="445" t="s">
        <v>405</v>
      </c>
      <c r="D35" s="448">
        <v>49</v>
      </c>
      <c r="E35" s="439" t="s">
        <v>52</v>
      </c>
      <c r="F35" s="351" t="s">
        <v>51</v>
      </c>
      <c r="G35" s="440" t="s">
        <v>52</v>
      </c>
      <c r="H35" s="162"/>
      <c r="I35" s="162"/>
      <c r="J35" s="162"/>
      <c r="K35" s="162"/>
      <c r="L35" s="444" t="s">
        <v>53</v>
      </c>
      <c r="M35">
        <v>16353058</v>
      </c>
      <c r="N35" t="s">
        <v>373</v>
      </c>
    </row>
    <row r="36" spans="1:14" hidden="1">
      <c r="A36" s="273" t="s">
        <v>534</v>
      </c>
      <c r="C36" s="445" t="s">
        <v>533</v>
      </c>
      <c r="D36" s="448">
        <v>18.375</v>
      </c>
      <c r="E36" s="439" t="s">
        <v>52</v>
      </c>
      <c r="F36" s="351" t="s">
        <v>51</v>
      </c>
      <c r="G36" s="440" t="s">
        <v>52</v>
      </c>
      <c r="H36" s="162"/>
      <c r="I36" s="162"/>
      <c r="J36" s="162"/>
      <c r="K36" s="162"/>
      <c r="L36" s="444" t="s">
        <v>53</v>
      </c>
      <c r="M36" s="8">
        <v>16434358</v>
      </c>
    </row>
    <row r="37" spans="1:14" hidden="1">
      <c r="A37" s="273" t="s">
        <v>534</v>
      </c>
      <c r="C37" s="445" t="s">
        <v>523</v>
      </c>
      <c r="D37" s="448">
        <v>14.9</v>
      </c>
      <c r="E37" s="439" t="s">
        <v>101</v>
      </c>
      <c r="F37" s="351" t="s">
        <v>51</v>
      </c>
      <c r="G37" s="439" t="s">
        <v>101</v>
      </c>
      <c r="H37" s="162"/>
      <c r="I37" s="162"/>
      <c r="J37" s="162"/>
      <c r="K37" s="162"/>
      <c r="L37" s="444" t="s">
        <v>53</v>
      </c>
      <c r="M37" s="8">
        <v>16434517</v>
      </c>
    </row>
    <row r="38" spans="1:14" ht="15" hidden="1" thickBot="1">
      <c r="A38" s="273" t="s">
        <v>534</v>
      </c>
      <c r="C38" s="445" t="s">
        <v>75</v>
      </c>
      <c r="D38" s="448">
        <v>188.625</v>
      </c>
      <c r="E38" s="439" t="s">
        <v>52</v>
      </c>
      <c r="F38" s="351" t="s">
        <v>51</v>
      </c>
      <c r="G38" s="438" t="s">
        <v>21</v>
      </c>
      <c r="H38" s="162"/>
      <c r="I38" s="162"/>
      <c r="J38" s="162"/>
      <c r="K38" s="162"/>
      <c r="L38" s="444" t="s">
        <v>53</v>
      </c>
      <c r="M38" s="235">
        <v>16435626</v>
      </c>
      <c r="N38" s="226"/>
    </row>
    <row r="39" spans="1:14" hidden="1">
      <c r="A39" s="273" t="s">
        <v>535</v>
      </c>
      <c r="C39" s="445" t="s">
        <v>536</v>
      </c>
      <c r="D39" s="448">
        <v>29</v>
      </c>
      <c r="E39" s="439" t="s">
        <v>101</v>
      </c>
      <c r="F39" s="351" t="s">
        <v>51</v>
      </c>
      <c r="G39" s="439" t="s">
        <v>101</v>
      </c>
      <c r="H39" s="162"/>
      <c r="I39" s="162"/>
      <c r="J39" s="162"/>
      <c r="K39" s="162"/>
      <c r="L39" s="444" t="s">
        <v>53</v>
      </c>
      <c r="M39" s="8">
        <v>16444279</v>
      </c>
    </row>
    <row r="40" spans="1:14" hidden="1">
      <c r="A40" s="273" t="s">
        <v>535</v>
      </c>
      <c r="C40" s="445" t="s">
        <v>536</v>
      </c>
      <c r="D40" s="448">
        <v>11</v>
      </c>
      <c r="E40" s="439" t="s">
        <v>101</v>
      </c>
      <c r="F40" s="351" t="s">
        <v>51</v>
      </c>
      <c r="G40" s="439" t="s">
        <v>101</v>
      </c>
      <c r="H40" s="162"/>
      <c r="I40" s="162"/>
      <c r="J40" s="162"/>
      <c r="K40" s="162"/>
      <c r="L40" s="444" t="s">
        <v>53</v>
      </c>
      <c r="M40" s="8">
        <v>16447408</v>
      </c>
    </row>
    <row r="41" spans="1:14" hidden="1">
      <c r="A41" s="273" t="s">
        <v>537</v>
      </c>
      <c r="C41" s="445" t="s">
        <v>76</v>
      </c>
      <c r="D41" s="448">
        <v>47.6</v>
      </c>
      <c r="E41" s="439" t="s">
        <v>52</v>
      </c>
      <c r="F41" s="351" t="s">
        <v>51</v>
      </c>
      <c r="G41" s="440" t="s">
        <v>52</v>
      </c>
      <c r="H41" s="162"/>
      <c r="I41" s="162"/>
      <c r="J41" s="162"/>
      <c r="K41" s="162"/>
      <c r="L41" s="428" t="s">
        <v>53</v>
      </c>
      <c r="M41" s="8">
        <v>16481315</v>
      </c>
    </row>
    <row r="42" spans="1:14" hidden="1">
      <c r="A42" s="273" t="s">
        <v>537</v>
      </c>
      <c r="C42" s="445" t="s">
        <v>76</v>
      </c>
      <c r="D42" s="448">
        <v>30.574999999999999</v>
      </c>
      <c r="E42" s="439" t="s">
        <v>52</v>
      </c>
      <c r="F42" s="351" t="s">
        <v>51</v>
      </c>
      <c r="G42" s="440" t="s">
        <v>52</v>
      </c>
      <c r="H42" s="162"/>
      <c r="I42" s="162"/>
      <c r="J42" s="162"/>
      <c r="K42" s="162"/>
      <c r="L42" s="428" t="s">
        <v>53</v>
      </c>
      <c r="M42" s="8">
        <v>16491439</v>
      </c>
    </row>
    <row r="43" spans="1:14" hidden="1">
      <c r="A43" s="273" t="s">
        <v>537</v>
      </c>
      <c r="C43" s="445" t="s">
        <v>76</v>
      </c>
      <c r="D43" s="448">
        <v>30.574999999999999</v>
      </c>
      <c r="E43" s="439" t="s">
        <v>52</v>
      </c>
      <c r="F43" s="351" t="s">
        <v>51</v>
      </c>
      <c r="G43" s="440" t="s">
        <v>52</v>
      </c>
      <c r="H43" s="162"/>
      <c r="I43" s="162"/>
      <c r="J43" s="162"/>
      <c r="K43" s="162"/>
      <c r="L43" s="428" t="s">
        <v>53</v>
      </c>
      <c r="M43" s="8">
        <v>16491440</v>
      </c>
    </row>
    <row r="44" spans="1:14" hidden="1">
      <c r="A44" s="273" t="s">
        <v>537</v>
      </c>
      <c r="C44" s="445" t="s">
        <v>76</v>
      </c>
      <c r="D44" s="448">
        <v>30.574999999999999</v>
      </c>
      <c r="E44" s="439" t="s">
        <v>52</v>
      </c>
      <c r="F44" s="351" t="s">
        <v>51</v>
      </c>
      <c r="G44" s="440" t="s">
        <v>52</v>
      </c>
      <c r="H44" s="162"/>
      <c r="I44" s="162"/>
      <c r="J44" s="162"/>
      <c r="K44" s="162"/>
      <c r="L44" s="428" t="s">
        <v>53</v>
      </c>
      <c r="M44" s="8">
        <v>16491441</v>
      </c>
    </row>
    <row r="45" spans="1:14" hidden="1">
      <c r="A45" s="273" t="s">
        <v>537</v>
      </c>
      <c r="C45" s="445" t="s">
        <v>76</v>
      </c>
      <c r="D45" s="448">
        <v>30.574999999999999</v>
      </c>
      <c r="E45" s="439" t="s">
        <v>52</v>
      </c>
      <c r="F45" s="351" t="s">
        <v>51</v>
      </c>
      <c r="G45" s="440" t="s">
        <v>52</v>
      </c>
      <c r="H45" s="162"/>
      <c r="I45" s="162"/>
      <c r="J45" s="162"/>
      <c r="K45" s="162"/>
      <c r="L45" s="428" t="s">
        <v>53</v>
      </c>
      <c r="M45" s="8">
        <v>16491442</v>
      </c>
    </row>
    <row r="46" spans="1:14" hidden="1">
      <c r="A46" s="273" t="s">
        <v>537</v>
      </c>
      <c r="C46" s="445" t="s">
        <v>76</v>
      </c>
      <c r="D46" s="448">
        <v>30.574999999999999</v>
      </c>
      <c r="E46" s="439" t="s">
        <v>52</v>
      </c>
      <c r="F46" s="351" t="s">
        <v>51</v>
      </c>
      <c r="G46" s="440" t="s">
        <v>52</v>
      </c>
      <c r="H46" s="162"/>
      <c r="I46" s="162"/>
      <c r="J46" s="162"/>
      <c r="K46" s="162"/>
      <c r="L46" s="428" t="s">
        <v>53</v>
      </c>
      <c r="M46" s="8">
        <v>16491443</v>
      </c>
    </row>
    <row r="47" spans="1:14" hidden="1">
      <c r="A47" s="273" t="s">
        <v>538</v>
      </c>
      <c r="C47" s="445" t="s">
        <v>530</v>
      </c>
      <c r="D47" s="446">
        <v>165.786</v>
      </c>
      <c r="E47" s="447" t="s">
        <v>276</v>
      </c>
      <c r="F47" s="351" t="s">
        <v>51</v>
      </c>
      <c r="G47" s="447" t="s">
        <v>276</v>
      </c>
      <c r="H47" s="162"/>
      <c r="I47" s="162"/>
      <c r="J47" s="162"/>
      <c r="K47" s="162"/>
      <c r="L47" s="428" t="s">
        <v>53</v>
      </c>
      <c r="M47" s="8">
        <v>16494962</v>
      </c>
    </row>
    <row r="48" spans="1:14" hidden="1">
      <c r="A48" s="273" t="s">
        <v>538</v>
      </c>
      <c r="C48" s="445" t="s">
        <v>368</v>
      </c>
      <c r="D48" s="446">
        <v>76.256</v>
      </c>
      <c r="E48" s="447" t="s">
        <v>276</v>
      </c>
      <c r="F48" s="351" t="s">
        <v>51</v>
      </c>
      <c r="G48" s="447" t="s">
        <v>276</v>
      </c>
      <c r="H48" s="162"/>
      <c r="I48" s="162"/>
      <c r="J48" s="162"/>
      <c r="K48" s="162"/>
      <c r="L48" s="428" t="s">
        <v>53</v>
      </c>
      <c r="M48" s="8">
        <v>16493427</v>
      </c>
    </row>
    <row r="49" spans="1:20" hidden="1">
      <c r="A49" s="273" t="s">
        <v>538</v>
      </c>
      <c r="C49" s="445" t="s">
        <v>531</v>
      </c>
      <c r="D49" s="448">
        <v>91.962000000000003</v>
      </c>
      <c r="E49" s="447" t="s">
        <v>276</v>
      </c>
      <c r="F49" s="351" t="s">
        <v>51</v>
      </c>
      <c r="G49" s="447" t="s">
        <v>276</v>
      </c>
      <c r="H49" s="162"/>
      <c r="I49" s="162"/>
      <c r="J49" s="162"/>
      <c r="K49" s="162"/>
      <c r="L49" s="428" t="s">
        <v>53</v>
      </c>
      <c r="M49" s="8">
        <v>16493655</v>
      </c>
    </row>
    <row r="50" spans="1:20" hidden="1">
      <c r="A50" s="273" t="s">
        <v>539</v>
      </c>
      <c r="C50" s="445" t="s">
        <v>523</v>
      </c>
      <c r="D50" s="448">
        <v>15</v>
      </c>
      <c r="E50" s="439" t="s">
        <v>101</v>
      </c>
      <c r="F50" s="351" t="s">
        <v>51</v>
      </c>
      <c r="G50" s="439" t="s">
        <v>101</v>
      </c>
      <c r="H50" s="162"/>
      <c r="I50" s="162"/>
      <c r="J50" s="162"/>
      <c r="K50" s="162"/>
      <c r="L50" s="428" t="s">
        <v>53</v>
      </c>
      <c r="M50" s="8">
        <v>16508117</v>
      </c>
    </row>
    <row r="51" spans="1:20" hidden="1">
      <c r="A51" s="273" t="s">
        <v>539</v>
      </c>
      <c r="C51" s="445" t="s">
        <v>540</v>
      </c>
      <c r="D51" s="448">
        <v>66.5</v>
      </c>
      <c r="E51" s="439" t="s">
        <v>52</v>
      </c>
      <c r="F51" s="351" t="s">
        <v>51</v>
      </c>
      <c r="G51" s="440" t="s">
        <v>52</v>
      </c>
      <c r="H51" s="162"/>
      <c r="I51" s="162"/>
      <c r="J51" s="162"/>
      <c r="K51" s="162"/>
      <c r="L51" s="428" t="s">
        <v>53</v>
      </c>
      <c r="M51" s="8">
        <v>16524674</v>
      </c>
      <c r="N51">
        <v>16524720</v>
      </c>
      <c r="O51" s="8">
        <v>16524817</v>
      </c>
      <c r="P51" s="8">
        <v>16524851</v>
      </c>
      <c r="Q51">
        <v>16525010</v>
      </c>
      <c r="R51" s="8">
        <v>16525060</v>
      </c>
      <c r="S51" s="8">
        <v>16525098</v>
      </c>
      <c r="T51" s="139" t="s">
        <v>541</v>
      </c>
    </row>
    <row r="52" spans="1:20" hidden="1">
      <c r="A52" s="273" t="s">
        <v>539</v>
      </c>
      <c r="C52" s="445" t="s">
        <v>542</v>
      </c>
      <c r="D52" s="448">
        <v>20</v>
      </c>
      <c r="E52" s="439" t="s">
        <v>394</v>
      </c>
      <c r="F52" s="351" t="s">
        <v>51</v>
      </c>
      <c r="G52" s="439" t="s">
        <v>394</v>
      </c>
      <c r="H52" s="162"/>
      <c r="I52" s="162"/>
      <c r="J52" s="162"/>
      <c r="K52" s="162"/>
      <c r="L52" s="428" t="s">
        <v>53</v>
      </c>
      <c r="M52" s="8">
        <v>16527482</v>
      </c>
    </row>
    <row r="53" spans="1:20" hidden="1">
      <c r="A53" s="273" t="s">
        <v>539</v>
      </c>
      <c r="C53" s="445" t="s">
        <v>542</v>
      </c>
      <c r="D53" s="448">
        <v>20</v>
      </c>
      <c r="E53" s="439" t="s">
        <v>394</v>
      </c>
      <c r="F53" s="351" t="s">
        <v>51</v>
      </c>
      <c r="G53" s="439" t="s">
        <v>394</v>
      </c>
      <c r="H53" s="162"/>
      <c r="I53" s="162"/>
      <c r="J53" s="162"/>
      <c r="K53" s="162"/>
      <c r="L53" s="428" t="s">
        <v>53</v>
      </c>
      <c r="M53" s="8">
        <v>16539264</v>
      </c>
    </row>
    <row r="54" spans="1:20" hidden="1">
      <c r="A54" s="273" t="s">
        <v>539</v>
      </c>
      <c r="C54" s="445" t="s">
        <v>530</v>
      </c>
      <c r="D54" s="446">
        <v>97.424000000000007</v>
      </c>
      <c r="E54" s="447" t="s">
        <v>276</v>
      </c>
      <c r="F54" s="351" t="s">
        <v>51</v>
      </c>
      <c r="G54" s="447" t="s">
        <v>276</v>
      </c>
      <c r="H54" s="162"/>
      <c r="I54" s="162"/>
      <c r="J54" s="162"/>
      <c r="K54" s="162"/>
      <c r="L54" s="428" t="s">
        <v>53</v>
      </c>
      <c r="M54" s="8">
        <v>16529593</v>
      </c>
    </row>
    <row r="55" spans="1:20" hidden="1">
      <c r="A55" s="273" t="s">
        <v>539</v>
      </c>
      <c r="C55" s="445" t="s">
        <v>368</v>
      </c>
      <c r="D55" s="446">
        <v>19.745000000000001</v>
      </c>
      <c r="E55" s="447" t="s">
        <v>276</v>
      </c>
      <c r="F55" s="351" t="s">
        <v>51</v>
      </c>
      <c r="G55" s="447" t="s">
        <v>276</v>
      </c>
      <c r="H55" s="162"/>
      <c r="I55" s="162"/>
      <c r="J55" s="162"/>
      <c r="K55" s="162"/>
      <c r="L55" s="428" t="s">
        <v>53</v>
      </c>
      <c r="M55" s="8">
        <v>16530284</v>
      </c>
    </row>
    <row r="56" spans="1:20" hidden="1">
      <c r="A56" s="273" t="s">
        <v>539</v>
      </c>
      <c r="C56" s="445" t="s">
        <v>531</v>
      </c>
      <c r="D56" s="448">
        <v>11.010999999999999</v>
      </c>
      <c r="E56" s="447" t="s">
        <v>276</v>
      </c>
      <c r="F56" s="351" t="s">
        <v>51</v>
      </c>
      <c r="G56" s="447" t="s">
        <v>276</v>
      </c>
      <c r="H56" s="162"/>
      <c r="I56" s="162"/>
      <c r="J56" s="162"/>
      <c r="K56" s="162"/>
      <c r="L56" s="428" t="s">
        <v>53</v>
      </c>
      <c r="M56" s="8">
        <v>16529946</v>
      </c>
    </row>
    <row r="57" spans="1:20" hidden="1">
      <c r="A57" s="273" t="s">
        <v>539</v>
      </c>
      <c r="C57" s="445" t="s">
        <v>543</v>
      </c>
      <c r="D57" s="448">
        <v>43.545999999999999</v>
      </c>
      <c r="E57" s="439" t="s">
        <v>101</v>
      </c>
      <c r="F57" s="351" t="s">
        <v>51</v>
      </c>
      <c r="G57" s="439" t="s">
        <v>101</v>
      </c>
      <c r="H57" s="162"/>
      <c r="I57" s="162"/>
      <c r="J57" s="162"/>
      <c r="K57" s="162"/>
      <c r="L57" s="428" t="s">
        <v>53</v>
      </c>
      <c r="M57" s="8">
        <v>16525322</v>
      </c>
    </row>
    <row r="58" spans="1:20" hidden="1">
      <c r="A58" s="450" t="s">
        <v>539</v>
      </c>
      <c r="C58" s="445" t="s">
        <v>402</v>
      </c>
      <c r="D58" s="448">
        <v>35.1</v>
      </c>
      <c r="E58" s="451" t="s">
        <v>52</v>
      </c>
      <c r="F58" s="452" t="s">
        <v>51</v>
      </c>
      <c r="G58" s="453" t="s">
        <v>52</v>
      </c>
      <c r="H58" s="454"/>
      <c r="I58" s="454"/>
      <c r="J58" s="454"/>
      <c r="K58" s="454"/>
      <c r="L58" s="428" t="s">
        <v>53</v>
      </c>
      <c r="M58" s="8">
        <v>16507644</v>
      </c>
    </row>
    <row r="59" spans="1:20" hidden="1">
      <c r="A59" s="162"/>
      <c r="B59" s="162"/>
      <c r="C59" s="162" t="s">
        <v>35</v>
      </c>
      <c r="D59" s="455">
        <f>SUM(D2:D58)</f>
        <v>6555.8610000000008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</row>
  </sheetData>
  <autoFilter ref="A1:N59" xr:uid="{BF51CEDE-BB16-42E7-9EFE-0B2683D71873}">
    <filterColumn colId="2">
      <filters>
        <filter val="Middle East Collag"/>
        <filter val="OCEC"/>
        <filter val="Oman Housing Bank"/>
      </filters>
    </filterColumn>
    <sortState xmlns:xlrd2="http://schemas.microsoft.com/office/spreadsheetml/2017/richdata2" ref="A2:N58">
      <sortCondition ref="A1"/>
    </sortState>
  </autoFilter>
  <hyperlinks>
    <hyperlink ref="M3" r:id="rId1" display="https://hub.floward.io/order/16224875" xr:uid="{50DAB382-0897-4798-B207-7513A1577459}"/>
    <hyperlink ref="M2" r:id="rId2" display="https://hub.floward.io/order/16210074" xr:uid="{0122B942-39F5-47BB-AB7F-31D1457CB205}"/>
    <hyperlink ref="M4" r:id="rId3" display="https://hub.floward.io/order/16223321" xr:uid="{9061B5C1-658F-4741-AB7F-D9FED5ADBEAD}"/>
    <hyperlink ref="M5" r:id="rId4" display="https://hub.floward.io/order/16221647" xr:uid="{52775FC4-34F2-4766-9D4B-005C453282D0}"/>
    <hyperlink ref="M6" r:id="rId5" display="https://hub.floward.io/order/16211967" xr:uid="{F1E154D2-DE09-46C2-94A3-35FD1B9C9D20}"/>
    <hyperlink ref="M7" r:id="rId6" display="https://hub.floward.io/order/16212143" xr:uid="{568AD334-DD1B-4093-9E38-D90C84D7842A}"/>
    <hyperlink ref="M8" r:id="rId7" display="https://hub.floward.io/order/16236199" xr:uid="{B40F90C2-8C44-4573-BD9B-20633A2D3C08}"/>
    <hyperlink ref="M9" r:id="rId8" display="https://hub.floward.io/order/16235082" xr:uid="{9A84C2D3-870D-40D3-BD8F-48EDF5C28F88}"/>
    <hyperlink ref="M10" r:id="rId9" display="https://hub.floward.io/order/16255330" xr:uid="{2824278A-1D16-4FB9-82E3-83D9AE8E019B}"/>
    <hyperlink ref="M11" r:id="rId10" display="https://hub.floward.io/order/16255092" xr:uid="{21DCD635-5810-4681-85F5-8DAB4C89653D}"/>
    <hyperlink ref="M12" r:id="rId11" display="https://hub.floward.io/order/16265548" xr:uid="{BEED1141-212E-4CDD-A357-2FA70A8826AA}"/>
    <hyperlink ref="M13" r:id="rId12" display="https://hub.floward.io/order/16264926" xr:uid="{F02A733F-BDE2-4BA9-A714-E351A38FF935}"/>
    <hyperlink ref="M14" r:id="rId13" display="https://hub.floward.io/order/16245780" xr:uid="{8BECACF8-A7A9-49F5-9234-56C454E07EBB}"/>
    <hyperlink ref="M16" r:id="rId14" display="https://hub.floward.io/order/16245825" xr:uid="{80D44366-EF5A-4B71-96D2-9D2BEA68967A}"/>
    <hyperlink ref="M18" r:id="rId15" display="https://hub.floward.io/order/16283601" xr:uid="{0FF9BE99-72B1-4259-A6B5-C94F05FA8E95}"/>
    <hyperlink ref="M17" r:id="rId16" display="https://hub.floward.io/order/16284556" xr:uid="{47DAC77A-A053-4664-9CF7-499AECBCA7D8}"/>
    <hyperlink ref="M19" r:id="rId17" display="https://hub.floward.io/order/16287892" xr:uid="{9177B7F0-C24A-4E14-A8BE-42D94318C6B1}"/>
    <hyperlink ref="M20" r:id="rId18" display="https://hub.floward.io/order/16295777" xr:uid="{8F1EB89D-946E-4533-968F-5A8379466396}"/>
    <hyperlink ref="M21" r:id="rId19" display="https://hub.floward.io/order/16313874" xr:uid="{D33E3BBD-5955-45F6-915B-E9019B7873A1}"/>
    <hyperlink ref="M22" r:id="rId20" display="https://hub.floward.io/order/16318551" xr:uid="{98175BC6-2ED2-4FC2-878B-719496F84D39}"/>
    <hyperlink ref="M23" r:id="rId21" display="https://hub.floward.io/order/16342157" xr:uid="{A66938A3-931C-4389-B15F-26C510E4586C}"/>
    <hyperlink ref="M24" r:id="rId22" display="https://hub.floward.io/order/16343502" xr:uid="{0546DA38-1178-464B-9BE5-28858439C6CE}"/>
    <hyperlink ref="M27" r:id="rId23" display="https://hub.floward.io/order/16361818" xr:uid="{2984370C-1C37-4A39-8AC6-0BFFD282BDCB}"/>
    <hyperlink ref="M25" r:id="rId24" display="https://hub.floward.io/order/16370898" xr:uid="{35B57437-80D1-4FC6-9BC1-2E76B8F4C1B9}"/>
    <hyperlink ref="M26" r:id="rId25" display="https://hub.floward.io/order/16343351" xr:uid="{F4ECDD49-32A2-49D8-9730-C2B801824674}"/>
    <hyperlink ref="M28" r:id="rId26" display="https://hub.floward.io/order/16381789" xr:uid="{8C3D2EF7-6C8E-4930-9A80-A5BCC2F670C9}"/>
    <hyperlink ref="M29" r:id="rId27" display="https://hub.floward.io/order/16372721" xr:uid="{49AEBF4E-61FA-44C5-8A7F-2B4AC2BBD902}"/>
    <hyperlink ref="M30" r:id="rId28" display="https://hub.floward.io/order/16405484" xr:uid="{EB1E9DF0-DDAA-48CF-B4B6-71576C902D58}"/>
    <hyperlink ref="M33" r:id="rId29" display="https://hub.floward.io/order/16424313" xr:uid="{82A6D2BF-ECD6-483B-B298-143C25A0DFA8}"/>
    <hyperlink ref="M34" r:id="rId30" display="https://hub.floward.io/order/16426110" xr:uid="{6FEC2CF6-7D2A-41A3-B05A-235C28650E7B}"/>
    <hyperlink ref="M36" r:id="rId31" display="https://hub.floward.io/order/16434358" xr:uid="{825CE1C8-4C8B-4D19-BEC7-547125DD0482}"/>
    <hyperlink ref="M37" r:id="rId32" display="https://hub.floward.io/order/16434517" xr:uid="{37D4D3EE-BA41-4302-84CA-62840EC6E473}"/>
    <hyperlink ref="M38" r:id="rId33" display="https://hub.floward.io/order/16435626" xr:uid="{1EBE7D18-50C0-4A86-9C4F-C2CD1FFF85E2}"/>
    <hyperlink ref="M39" r:id="rId34" display="https://hub.floward.io/order/16444279" xr:uid="{F102413D-36F0-4689-95C1-89777301EEF0}"/>
    <hyperlink ref="M40" r:id="rId35" display="https://hub.floward.io/order/16447408" xr:uid="{EF2C97D1-05B5-4908-8DD5-FEEB6F7FDDA7}"/>
    <hyperlink ref="M41" r:id="rId36" display="https://hub.floward.io/order/16481315" xr:uid="{0F984455-0BF4-4818-9E75-29B0F3BE7900}"/>
    <hyperlink ref="M42" r:id="rId37" display="https://hub.floward.io/order/16491439" xr:uid="{4B5C7B7F-BD38-4AA9-A4F3-15D84969F483}"/>
    <hyperlink ref="M43" r:id="rId38" display="https://hub.floward.io/order/16491440" xr:uid="{B45C02B4-D653-431F-8888-9A244AEA01E7}"/>
    <hyperlink ref="M44" r:id="rId39" display="https://hub.floward.io/order/16491441" xr:uid="{18BA5474-AB94-450E-8EAA-9DFEA38A7EB1}"/>
    <hyperlink ref="M45" r:id="rId40" display="https://hub.floward.io/order/16491442" xr:uid="{B5EC598F-6B45-4C23-97B1-FEAEB92C8CFF}"/>
    <hyperlink ref="M46" r:id="rId41" display="https://hub.floward.io/order/16491443" xr:uid="{8111CF2C-CD76-4CE5-B57F-5DB4766059F6}"/>
    <hyperlink ref="M47" r:id="rId42" display="https://hub.floward.io/order/16494962" xr:uid="{CF294C6F-CA03-42DB-8DAD-E8339BB72D80}"/>
    <hyperlink ref="M50" r:id="rId43" display="https://hub.floward.io/order/16508117" xr:uid="{AE985CE0-8597-41F6-A9DC-5827490CE590}"/>
    <hyperlink ref="M51" r:id="rId44" display="https://hub.floward.io/order/16524674" xr:uid="{484340CE-9F54-4B11-8920-230A26944EF5}"/>
    <hyperlink ref="O51" r:id="rId45" display="https://hub.floward.io/order/16524817" xr:uid="{91F12864-8240-4A11-B6D7-988055FEF772}"/>
    <hyperlink ref="P51" r:id="rId46" display="https://hub.floward.io/order/16524851" xr:uid="{49D642D3-78CD-4391-9867-A62972353A3D}"/>
    <hyperlink ref="R51" r:id="rId47" display="https://hub.floward.io/order/16525060" xr:uid="{33F4BFD1-353F-4436-8BE1-2A17CBF002A5}"/>
    <hyperlink ref="S51" r:id="rId48" display="https://hub.floward.io/order/16525098" xr:uid="{03360712-6AEC-4B9F-8B08-490BB6D62FD0}"/>
    <hyperlink ref="M52" r:id="rId49" display="https://hub.floward.io/order/16527482" xr:uid="{B79F82F3-F960-4945-AF79-205019022594}"/>
    <hyperlink ref="M54" r:id="rId50" display="https://hub.floward.io/order/16529593" xr:uid="{ED903FD1-D063-4D01-AA8C-246EFD557527}"/>
    <hyperlink ref="M53" r:id="rId51" display="https://hub.floward.io/order/16539264" xr:uid="{CC9AB3CD-A766-41B6-8922-E6FEEF130108}"/>
    <hyperlink ref="M56" r:id="rId52" display="https://hub.floward.io/order/16529946" xr:uid="{F108CFE4-19AA-4B31-8515-E7D908AC8A34}"/>
    <hyperlink ref="M57" r:id="rId53" display="https://hub.floward.io/order/16525322" xr:uid="{D7AAC70E-CC5A-479A-A893-660BCAED026F}"/>
    <hyperlink ref="M49" r:id="rId54" display="https://hub.floward.io/order/16493655" xr:uid="{977EEC49-B81C-4691-A027-DA5CBC10853C}"/>
    <hyperlink ref="M55" r:id="rId55" display="https://hub.floward.io/order/16530284" xr:uid="{C3D0A344-2F5E-466C-9E16-A62F74AB51C6}"/>
    <hyperlink ref="M58" r:id="rId56" display="https://hub.floward.io/order/16507644" xr:uid="{16D05C25-0CA9-4275-841B-213B28075139}"/>
    <hyperlink ref="M48" r:id="rId57" display="https://hub.floward.io/order/16493427" xr:uid="{8628BF74-753F-4D22-8798-158596831D75}"/>
  </hyperlinks>
  <pageMargins left="0.7" right="0.7" top="0.75" bottom="0.75" header="0.3" footer="0.3"/>
  <pageSetup paperSize="9" orientation="portrait" r:id="rId58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6C58-DA3E-4710-B423-7BF928B8C453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Dec 2024</vt:lpstr>
      <vt:lpstr>Pivot</vt:lpstr>
      <vt:lpstr>FEB 2025</vt:lpstr>
      <vt:lpstr>Sheet1</vt:lpstr>
      <vt:lpstr>JAN 2025</vt:lpstr>
      <vt:lpstr>OKRs</vt:lpstr>
      <vt:lpstr>Calendars </vt:lpstr>
      <vt:lpstr>March 2025</vt:lpstr>
      <vt:lpstr>Sheet6</vt:lpstr>
      <vt:lpstr>April 2025 </vt:lpstr>
      <vt:lpstr>May 2025 </vt:lpstr>
      <vt:lpstr>June 2025 </vt:lpstr>
      <vt:lpstr>July </vt:lpstr>
      <vt:lpstr>Augest</vt:lpstr>
      <vt:lpstr>Sep 2025 </vt:lpstr>
      <vt:lpstr>Oct 2025</vt:lpstr>
      <vt:lpstr>Nov 2025</vt:lpstr>
      <vt:lpstr>DEC 2025 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EMPGROUP3</dc:creator>
  <cp:keywords/>
  <dc:description/>
  <cp:lastModifiedBy>Tamer Mohamed</cp:lastModifiedBy>
  <cp:revision/>
  <dcterms:created xsi:type="dcterms:W3CDTF">2024-01-11T07:30:10Z</dcterms:created>
  <dcterms:modified xsi:type="dcterms:W3CDTF">2026-02-11T14:12:22Z</dcterms:modified>
  <cp:category/>
  <cp:contentStatus/>
</cp:coreProperties>
</file>